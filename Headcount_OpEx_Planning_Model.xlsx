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oster" sheetId="3" state="visible" r:id="rId5"/>
    <sheet name="Headcount Calc" sheetId="4" state="visible" r:id="rId6"/>
    <sheet name="Department Budget" sheetId="5" state="visible" r:id="rId7"/>
    <sheet name="Summary" sheetId="6" state="visible" r:id="rId8"/>
    <sheet name="Scenarios" sheetId="7" state="visible" r:id="rId9"/>
  </sheets>
  <definedNames>
    <definedName function="false" hidden="true" localSheetId="2" name="_xlnm._FilterDatabase" vbProcedure="false">Roster!$A$5:$J$83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<sst xmlns="http://schemas.openxmlformats.org/spreadsheetml/2006/main" count="580" uniqueCount="277">
  <si>
    <t xml:space="preserve">Headcount &amp; Operating Expense Planning Model — FY2027</t>
  </si>
  <si>
    <t xml:space="preserve">Built by Taruni Komma | Brightwater Analytics, Inc. (simulated ~70-person software company) | Monthly budget, Jan–Dec 2027</t>
  </si>
  <si>
    <t xml:space="preserve">KEY OUTPUTS (live, selected scenario)</t>
  </si>
  <si>
    <t xml:space="preserve">Scenario</t>
  </si>
  <si>
    <t xml:space="preserve">Total FY2027 operating expense</t>
  </si>
  <si>
    <t xml:space="preserve">Over / (under) leadership ceiling</t>
  </si>
  <si>
    <t xml:space="preserve">Opex as % of revenue</t>
  </si>
  <si>
    <t xml:space="preserve">Headcount: Jan 1 → Dec 31</t>
  </si>
  <si>
    <t xml:space="preserve">New hires in plan</t>
  </si>
  <si>
    <t xml:space="preserve">People costs as % of opex</t>
  </si>
  <si>
    <t xml:space="preserve">Department budgets tie to total?</t>
  </si>
  <si>
    <t xml:space="preserve">HOW THE WORKBOOK IS ORGANIZED</t>
  </si>
  <si>
    <t xml:space="preserve">• Assumptions — scenario selector (B5), compensation rates, per-head costs, department drivers, targets</t>
  </si>
  <si>
    <t xml:space="preserve">• Roster — 60 employees and 18 open roles with salary, dates, and hiring priority</t>
  </si>
  <si>
    <t xml:space="preserve">• Headcount Calc — prorated FTE and salary for every person, every month (merit and departures included)</t>
  </si>
  <si>
    <t xml:space="preserve">• Department Budget — monthly budget by department and line item, rolled up to company total</t>
  </si>
  <si>
    <t xml:space="preserve">• Summary — FY2027 budget vs. FY2026 actual and the leadership ceiling, with a department chart</t>
  </si>
  <si>
    <t xml:space="preserve">• Scenarios — Plan, Hiring freeze, Accelerated growth and Deferred hiring side by side</t>
  </si>
  <si>
    <t xml:space="preserve">COLOR LEGEND</t>
  </si>
  <si>
    <t xml:space="preserve">Blue text — input</t>
  </si>
  <si>
    <t xml:space="preserve">Black text — formula</t>
  </si>
  <si>
    <t xml:space="preserve">Green text — link to another sheet</t>
  </si>
  <si>
    <t xml:space="preserve">Yellow fill — key lever</t>
  </si>
  <si>
    <t xml:space="preserve">Planning Assumptions — FY2027 (January–December 2027)</t>
  </si>
  <si>
    <t xml:space="preserve">Brightwater Analytics, Inc. is a simulated software company; all data is illustrative. Blue = input, yellow = key lever.</t>
  </si>
  <si>
    <t xml:space="preserve">SCENARIO</t>
  </si>
  <si>
    <t xml:space="preserve">Scenario selector (1 = Plan, 2 = Hiring freeze, 3 = Accelerated growth, 4 = Deferred hiring)</t>
  </si>
  <si>
    <t xml:space="preserve">Lever</t>
  </si>
  <si>
    <t xml:space="preserve">Plan</t>
  </si>
  <si>
    <t xml:space="preserve">Hiring freeze</t>
  </si>
  <si>
    <t xml:space="preserve">Accelerated</t>
  </si>
  <si>
    <t xml:space="preserve">Deferred hiring</t>
  </si>
  <si>
    <t xml:space="preserve">Live</t>
  </si>
  <si>
    <t xml:space="preserve">Open roles approved (include priority ≤)</t>
  </si>
  <si>
    <t xml:space="preserve">All hire start dates pulled forward (months)</t>
  </si>
  <si>
    <t xml:space="preserve">Priority 2 hire start dates delayed (months)</t>
  </si>
  <si>
    <t xml:space="preserve">Change to programs &amp; vendor spend</t>
  </si>
  <si>
    <t xml:space="preserve">Priority 1 = critical/backfill, 2 = planned growth, 3 = stretch. Freeze keeps only priority 1 roles.</t>
  </si>
  <si>
    <t xml:space="preserve">COMPENSATION &amp; PER-HEAD COSTS</t>
  </si>
  <si>
    <t xml:space="preserve">Fiscal year start</t>
  </si>
  <si>
    <t xml:space="preserve">Employer payroll taxes (% of salary)</t>
  </si>
  <si>
    <t xml:space="preserve">Blended FICA, FUTA and state unemployment</t>
  </si>
  <si>
    <t xml:space="preserve">Benefits ($ per FTE per month)</t>
  </si>
  <si>
    <t xml:space="preserve">Medical, dental, 401(k) match</t>
  </si>
  <si>
    <t xml:space="preserve">Annual merit increase (existing employees)</t>
  </si>
  <si>
    <t xml:space="preserve">Merit effective date</t>
  </si>
  <si>
    <t xml:space="preserve">Recruiting cost (% of new hire salary)</t>
  </si>
  <si>
    <t xml:space="preserve">Agency and job-board costs</t>
  </si>
  <si>
    <t xml:space="preserve">Laptop and onboarding ($ per hire)</t>
  </si>
  <si>
    <t xml:space="preserve">Software and tools ($ per FTE per month)</t>
  </si>
  <si>
    <t xml:space="preserve">Facilities allocation ($ per FTE per month)</t>
  </si>
  <si>
    <t xml:space="preserve">Sales on-target variable compensation (% of salary)</t>
  </si>
  <si>
    <t xml:space="preserve">Replaces the level bonus for Sales</t>
  </si>
  <si>
    <t xml:space="preserve">BONUS TARGET BY LEVEL (% of salary)</t>
  </si>
  <si>
    <t xml:space="preserve">Level</t>
  </si>
  <si>
    <t xml:space="preserve">Bonus %</t>
  </si>
  <si>
    <t xml:space="preserve">DEPARTMENT COST DRIVERS</t>
  </si>
  <si>
    <t xml:space="preserve">Department</t>
  </si>
  <si>
    <t xml:space="preserve">Travel &amp; entertainment ($/FTE/mo)</t>
  </si>
  <si>
    <t xml:space="preserve">Programs &amp; vendors (annual $)</t>
  </si>
  <si>
    <t xml:space="preserve">Programs include</t>
  </si>
  <si>
    <t xml:space="preserve">Engineering</t>
  </si>
  <si>
    <t xml:space="preserve">Dev tools, cloud test environments, contractors</t>
  </si>
  <si>
    <t xml:space="preserve">Product</t>
  </si>
  <si>
    <t xml:space="preserve">User research, design tools</t>
  </si>
  <si>
    <t xml:space="preserve">Sales</t>
  </si>
  <si>
    <t xml:space="preserve">CRM seats, sales events, data providers</t>
  </si>
  <si>
    <t xml:space="preserve">Marketing</t>
  </si>
  <si>
    <t xml:space="preserve">Paid media, events, content agencies</t>
  </si>
  <si>
    <t xml:space="preserve">Customer Success</t>
  </si>
  <si>
    <t xml:space="preserve">Support platform, training</t>
  </si>
  <si>
    <t xml:space="preserve">G&amp;A</t>
  </si>
  <si>
    <t xml:space="preserve">Audit, legal, insurance, HR systems</t>
  </si>
  <si>
    <t xml:space="preserve">COMPANY TARGETS</t>
  </si>
  <si>
    <t xml:space="preserve">FY2027 revenue plan ($)</t>
  </si>
  <si>
    <t xml:space="preserve">Board-approved plan</t>
  </si>
  <si>
    <t xml:space="preserve">FY2026 revenue actual ($)</t>
  </si>
  <si>
    <t xml:space="preserve">Leadership operating expense ceiling ($)</t>
  </si>
  <si>
    <t xml:space="preserve">Maximum FY2027 opex approved by leadership</t>
  </si>
  <si>
    <t xml:space="preserve">Employee Roster and Hiring Plan</t>
  </si>
  <si>
    <t xml:space="preserve">60 current employees and 18 open roles. Edit salaries, dates or priorities here (blue); the model updates automatically. Simulated data — employee IDs only.</t>
  </si>
  <si>
    <t xml:space="preserve">Employee ID</t>
  </si>
  <si>
    <t xml:space="preserve">Title</t>
  </si>
  <si>
    <t xml:space="preserve">Status</t>
  </si>
  <si>
    <t xml:space="preserve">Annual salary ($)</t>
  </si>
  <si>
    <t xml:space="preserve">Start date</t>
  </si>
  <si>
    <t xml:space="preserve">End date</t>
  </si>
  <si>
    <t xml:space="preserve">Priority</t>
  </si>
  <si>
    <t xml:space="preserve">Note</t>
  </si>
  <si>
    <t xml:space="preserve">ENG-101</t>
  </si>
  <si>
    <t xml:space="preserve">Software Engineer I</t>
  </si>
  <si>
    <t xml:space="preserve">Existing</t>
  </si>
  <si>
    <t xml:space="preserve">ENG-102</t>
  </si>
  <si>
    <t xml:space="preserve">ENG-103</t>
  </si>
  <si>
    <t xml:space="preserve">ENG-104</t>
  </si>
  <si>
    <t xml:space="preserve">ENG-105</t>
  </si>
  <si>
    <t xml:space="preserve">Software Engineer II</t>
  </si>
  <si>
    <t xml:space="preserve">ENG-106</t>
  </si>
  <si>
    <t xml:space="preserve">ENG-107</t>
  </si>
  <si>
    <t xml:space="preserve">ENG-108</t>
  </si>
  <si>
    <t xml:space="preserve">ENG-109</t>
  </si>
  <si>
    <t xml:space="preserve">ENG-110</t>
  </si>
  <si>
    <t xml:space="preserve">ENG-111</t>
  </si>
  <si>
    <t xml:space="preserve">Senior Software Engineer</t>
  </si>
  <si>
    <t xml:space="preserve">Departing — backfill planned</t>
  </si>
  <si>
    <t xml:space="preserve">ENG-112</t>
  </si>
  <si>
    <t xml:space="preserve">ENG-113</t>
  </si>
  <si>
    <t xml:space="preserve">ENG-114</t>
  </si>
  <si>
    <t xml:space="preserve">ENG-115</t>
  </si>
  <si>
    <t xml:space="preserve">ENG-116</t>
  </si>
  <si>
    <t xml:space="preserve">ENG-117</t>
  </si>
  <si>
    <t xml:space="preserve">Staff Engineer</t>
  </si>
  <si>
    <t xml:space="preserve">ENG-118</t>
  </si>
  <si>
    <t xml:space="preserve">ENG-119</t>
  </si>
  <si>
    <t xml:space="preserve">ENG-120</t>
  </si>
  <si>
    <t xml:space="preserve">Director of Engineering</t>
  </si>
  <si>
    <t xml:space="preserve">PRD-101</t>
  </si>
  <si>
    <t xml:space="preserve">Product Manager</t>
  </si>
  <si>
    <t xml:space="preserve">PRD-102</t>
  </si>
  <si>
    <t xml:space="preserve">PRD-103</t>
  </si>
  <si>
    <t xml:space="preserve">Senior Product Manager</t>
  </si>
  <si>
    <t xml:space="preserve">PRD-104</t>
  </si>
  <si>
    <t xml:space="preserve">PRD-105</t>
  </si>
  <si>
    <t xml:space="preserve">VP, Product</t>
  </si>
  <si>
    <t xml:space="preserve">SLS-101</t>
  </si>
  <si>
    <t xml:space="preserve">Sales Development Rep</t>
  </si>
  <si>
    <t xml:space="preserve">SLS-102</t>
  </si>
  <si>
    <t xml:space="preserve">SLS-103</t>
  </si>
  <si>
    <t xml:space="preserve">SLS-104</t>
  </si>
  <si>
    <t xml:space="preserve">SLS-105</t>
  </si>
  <si>
    <t xml:space="preserve">Account Executive</t>
  </si>
  <si>
    <t xml:space="preserve">SLS-106</t>
  </si>
  <si>
    <t xml:space="preserve">SLS-107</t>
  </si>
  <si>
    <t xml:space="preserve">SLS-108</t>
  </si>
  <si>
    <t xml:space="preserve">SLS-109</t>
  </si>
  <si>
    <t xml:space="preserve">Senior Account Executive</t>
  </si>
  <si>
    <t xml:space="preserve">SLS-110</t>
  </si>
  <si>
    <t xml:space="preserve">SLS-111</t>
  </si>
  <si>
    <t xml:space="preserve">Sales Manager</t>
  </si>
  <si>
    <t xml:space="preserve">SLS-112</t>
  </si>
  <si>
    <t xml:space="preserve">VP, Sales</t>
  </si>
  <si>
    <t xml:space="preserve">MKT-101</t>
  </si>
  <si>
    <t xml:space="preserve">Marketing Coordinator</t>
  </si>
  <si>
    <t xml:space="preserve">MKT-102</t>
  </si>
  <si>
    <t xml:space="preserve">MKT-103</t>
  </si>
  <si>
    <t xml:space="preserve">Marketing Manager</t>
  </si>
  <si>
    <t xml:space="preserve">MKT-104</t>
  </si>
  <si>
    <t xml:space="preserve">MKT-105</t>
  </si>
  <si>
    <t xml:space="preserve">Director of Marketing</t>
  </si>
  <si>
    <t xml:space="preserve">MKT-106</t>
  </si>
  <si>
    <t xml:space="preserve">VP, Marketing</t>
  </si>
  <si>
    <t xml:space="preserve">CSX-101</t>
  </si>
  <si>
    <t xml:space="preserve">Support Specialist</t>
  </si>
  <si>
    <t xml:space="preserve">CSX-102</t>
  </si>
  <si>
    <t xml:space="preserve">CSX-103</t>
  </si>
  <si>
    <t xml:space="preserve">CSX-104</t>
  </si>
  <si>
    <t xml:space="preserve">CSX-105</t>
  </si>
  <si>
    <t xml:space="preserve">Customer Success Manager</t>
  </si>
  <si>
    <t xml:space="preserve">CSX-106</t>
  </si>
  <si>
    <t xml:space="preserve">CSX-107</t>
  </si>
  <si>
    <t xml:space="preserve">CSX-108</t>
  </si>
  <si>
    <t xml:space="preserve">Senior Customer Success Manager</t>
  </si>
  <si>
    <t xml:space="preserve">CSX-109</t>
  </si>
  <si>
    <t xml:space="preserve">Customer Success Lead</t>
  </si>
  <si>
    <t xml:space="preserve">GNA-101</t>
  </si>
  <si>
    <t xml:space="preserve">Staff Accountant</t>
  </si>
  <si>
    <t xml:space="preserve">GNA-102</t>
  </si>
  <si>
    <t xml:space="preserve">GNA-103</t>
  </si>
  <si>
    <t xml:space="preserve">Financial Analyst</t>
  </si>
  <si>
    <t xml:space="preserve">GNA-104</t>
  </si>
  <si>
    <t xml:space="preserve">GNA-105</t>
  </si>
  <si>
    <t xml:space="preserve">Senior Accountant</t>
  </si>
  <si>
    <t xml:space="preserve">GNA-106</t>
  </si>
  <si>
    <t xml:space="preserve">GNA-107</t>
  </si>
  <si>
    <t xml:space="preserve">Controller</t>
  </si>
  <si>
    <t xml:space="preserve">GNA-108</t>
  </si>
  <si>
    <t xml:space="preserve">Chief Financial Officer</t>
  </si>
  <si>
    <t xml:space="preserve">TBH-ENG-01</t>
  </si>
  <si>
    <t xml:space="preserve">Open role</t>
  </si>
  <si>
    <t xml:space="preserve">Platform team capacity</t>
  </si>
  <si>
    <t xml:space="preserve">TBH-ENG-02</t>
  </si>
  <si>
    <t xml:space="preserve">Backfill for departing senior engineer</t>
  </si>
  <si>
    <t xml:space="preserve">TBH-ENG-03</t>
  </si>
  <si>
    <t xml:space="preserve">Data pipeline roadmap</t>
  </si>
  <si>
    <t xml:space="preserve">TBH-ENG-04</t>
  </si>
  <si>
    <t xml:space="preserve">Security and compliance work</t>
  </si>
  <si>
    <t xml:space="preserve">TBH-ENG-05</t>
  </si>
  <si>
    <t xml:space="preserve">Machine learning lead</t>
  </si>
  <si>
    <t xml:space="preserve">TBH-ENG-06</t>
  </si>
  <si>
    <t xml:space="preserve">Junior capacity for H2 roadmap</t>
  </si>
  <si>
    <t xml:space="preserve">TBH-PRD-01</t>
  </si>
  <si>
    <t xml:space="preserve">Second product line</t>
  </si>
  <si>
    <t xml:space="preserve">TBH-SLS-01</t>
  </si>
  <si>
    <t xml:space="preserve">New enterprise territory</t>
  </si>
  <si>
    <t xml:space="preserve">TBH-SLS-02</t>
  </si>
  <si>
    <t xml:space="preserve">Backfill for departing account executive</t>
  </si>
  <si>
    <t xml:space="preserve">TBH-SLS-03</t>
  </si>
  <si>
    <t xml:space="preserve">Mid-market expansion</t>
  </si>
  <si>
    <t xml:space="preserve">TBH-SLS-04</t>
  </si>
  <si>
    <t xml:space="preserve">Pipeline generation</t>
  </si>
  <si>
    <t xml:space="preserve">TBH-MKT-01</t>
  </si>
  <si>
    <t xml:space="preserve">Demand generation</t>
  </si>
  <si>
    <t xml:space="preserve">TBH-MKT-02</t>
  </si>
  <si>
    <t xml:space="preserve">Events and content support</t>
  </si>
  <si>
    <t xml:space="preserve">TBH-CSX-01</t>
  </si>
  <si>
    <t xml:space="preserve">Enterprise onboarding</t>
  </si>
  <si>
    <t xml:space="preserve">TBH-CSX-02</t>
  </si>
  <si>
    <t xml:space="preserve">Backfill for departing support specialist</t>
  </si>
  <si>
    <t xml:space="preserve">TBH-CSX-03</t>
  </si>
  <si>
    <t xml:space="preserve">Support coverage for growth</t>
  </si>
  <si>
    <t xml:space="preserve">TBH-GNA-01</t>
  </si>
  <si>
    <t xml:space="preserve">Month-end close and audit readiness</t>
  </si>
  <si>
    <t xml:space="preserve">TBH-GNA-02</t>
  </si>
  <si>
    <t xml:space="preserve">FP&amp;A and planning support</t>
  </si>
  <si>
    <t xml:space="preserve">Monthly FTE and Salary Engine</t>
  </si>
  <si>
    <t xml:space="preserve">FTE is prorated by days employed in each month. Salaries include the merit increase from its effective date for employees hired before the fiscal year.</t>
  </si>
  <si>
    <t xml:space="preserve">FTE by month</t>
  </si>
  <si>
    <t xml:space="preserve">Salary cost by month ($)</t>
  </si>
  <si>
    <t xml:space="preserve">Annual salary</t>
  </si>
  <si>
    <t xml:space="preserve">Scenario start</t>
  </si>
  <si>
    <t xml:space="preserve">In plan (1/0)</t>
  </si>
  <si>
    <t xml:space="preserve">Merit eligible</t>
  </si>
  <si>
    <t xml:space="preserve">Total</t>
  </si>
  <si>
    <t xml:space="preserve">FY2027 Operating Expense Budget by Department ($)</t>
  </si>
  <si>
    <t xml:space="preserve">Line item</t>
  </si>
  <si>
    <t xml:space="preserve">FY2027</t>
  </si>
  <si>
    <t xml:space="preserve">FTE (average for the month)</t>
  </si>
  <si>
    <t xml:space="preserve">Salaries</t>
  </si>
  <si>
    <t xml:space="preserve">Bonus &amp; variable compensation</t>
  </si>
  <si>
    <t xml:space="preserve">Payroll taxes</t>
  </si>
  <si>
    <t xml:space="preserve">Benefits</t>
  </si>
  <si>
    <t xml:space="preserve">Recruiting &amp; onboarding</t>
  </si>
  <si>
    <t xml:space="preserve">Software &amp; tools</t>
  </si>
  <si>
    <t xml:space="preserve">Travel &amp; entertainment</t>
  </si>
  <si>
    <t xml:space="preserve">Facilities</t>
  </si>
  <si>
    <t xml:space="preserve">Programs &amp; vendors</t>
  </si>
  <si>
    <t xml:space="preserve">Total operating expense</t>
  </si>
  <si>
    <t xml:space="preserve">TOTAL COMPANY</t>
  </si>
  <si>
    <t xml:space="preserve">Check: department lines sum to total (should be 0)</t>
  </si>
  <si>
    <t xml:space="preserve">FY2027 Budget Summary</t>
  </si>
  <si>
    <t xml:space="preserve">FY2026 actual opex ($)</t>
  </si>
  <si>
    <t xml:space="preserve">FY2027 budget ($)</t>
  </si>
  <si>
    <t xml:space="preserve">Change ($)</t>
  </si>
  <si>
    <t xml:space="preserve">Change (%)</t>
  </si>
  <si>
    <t xml:space="preserve">Headcount Jan 1</t>
  </si>
  <si>
    <t xml:space="preserve">Headcount Dec 31</t>
  </si>
  <si>
    <t xml:space="preserve">Net adds</t>
  </si>
  <si>
    <t xml:space="preserve">Cost per avg. FTE ($)</t>
  </si>
  <si>
    <t xml:space="preserve">Total company</t>
  </si>
  <si>
    <t xml:space="preserve">FY2026 actual opex is simulated prior-year data for comparison. Headcount = FTE in January and December.</t>
  </si>
  <si>
    <t xml:space="preserve">BUDGET VS. TARGETS</t>
  </si>
  <si>
    <t xml:space="preserve">Leadership opex ceiling</t>
  </si>
  <si>
    <t xml:space="preserve">Over / (under) ceiling</t>
  </si>
  <si>
    <t xml:space="preserve">FY2027 revenue plan</t>
  </si>
  <si>
    <t xml:space="preserve">Opex as % of revenue — FY2027</t>
  </si>
  <si>
    <t xml:space="preserve">Opex as % of revenue — FY2026</t>
  </si>
  <si>
    <t xml:space="preserve">Revenue growth</t>
  </si>
  <si>
    <t xml:space="preserve">Opex growth</t>
  </si>
  <si>
    <t xml:space="preserve">Departures</t>
  </si>
  <si>
    <t xml:space="preserve">Scenario Comparison</t>
  </si>
  <si>
    <t xml:space="preserve">Snapshot captured by recalculating with Assumptions!B5 = 1 to 4. Change B5 to see any scenario live.</t>
  </si>
  <si>
    <t xml:space="preserve">Output</t>
  </si>
  <si>
    <t xml:space="preserve">Accelerated growth</t>
  </si>
  <si>
    <t xml:space="preserve">Total operating expense ($)</t>
  </si>
  <si>
    <t xml:space="preserve">Over / (under) leadership ceiling ($)</t>
  </si>
  <si>
    <t xml:space="preserve">Opex growth vs. FY2026</t>
  </si>
  <si>
    <t xml:space="preserve">New hires</t>
  </si>
  <si>
    <t xml:space="preserve">Average FTE</t>
  </si>
  <si>
    <t xml:space="preserve">Salaries + bonus ($)</t>
  </si>
  <si>
    <t xml:space="preserve">Recruiting &amp; onboarding ($)</t>
  </si>
  <si>
    <t xml:space="preserve">Programs &amp; vendors ($)</t>
  </si>
  <si>
    <t xml:space="preserve">Change in opex vs. Plan ($)</t>
  </si>
  <si>
    <t xml:space="preserve">Scenario definitions (Assumptions rows 8–11):</t>
  </si>
  <si>
    <t xml:space="preserve">Plan: priority 1–2 roles hired on planned dates; programs at budget.</t>
  </si>
  <si>
    <t xml:space="preserve">Hiring freeze: only priority 1 (critical and backfill) roles; programs and vendors cut 15%.</t>
  </si>
  <si>
    <t xml:space="preserve">Accelerated growth: all roles including priority 3, start dates pulled forward one month; programs +10%.</t>
  </si>
  <si>
    <t xml:space="preserve">Deferred hiring: all priority 1–2 roles kept, priority 2 start dates delayed one quarter; programs and vendors cut 5%.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</si>
</sst>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0.0%;\(0.0%\);\-"/>
    <numFmt numFmtId="167" formatCode="0"/>
    <numFmt numFmtId="168" formatCode="mmm\ d&quot;, &quot;yyyy"/>
    <numFmt numFmtId="169" formatCode="mmm\-yy"/>
    <numFmt numFmtId="170" formatCode="0.00"/>
    <numFmt numFmtId="171" formatCode="0.0"/>
    <numFmt numFmtId="172" formatCode="0;\(0\);&quot;OK&quot;"/>
    <numFmt numFmtId="173" formatCode="0.0;\(0.0\);\-"/>
    <numFmt numFmtId="174" formatCode="\$#,##0,,\M"/>
    <numFmt numFmtId="175" formatCode="\$#,##0"/>
    <numFmt numFmtId="176" formatCode="\$#,##0;&quot;($&quot;#,##0\)"/>
    <numFmt numFmtId="177" formatCode="0.0%"/>
    <numFmt numFmtId="178" formatCode="\$#,##0;&quot;($&quot;#,##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2EFDA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Opex by department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FY2026 actual opex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Engineering</c:v>
                </c:pt>
                <c:pt idx="1">
                  <c:v>Product</c:v>
                </c:pt>
                <c:pt idx="2">
                  <c:v>Sales</c:v>
                </c:pt>
                <c:pt idx="3">
                  <c:v>Marketing</c:v>
                </c:pt>
                <c:pt idx="4">
                  <c:v>Customer Success</c:v>
                </c:pt>
                <c:pt idx="5">
                  <c:v>G&amp;A</c:v>
                </c:pt>
              </c:strCache>
            </c:strRef>
          </c:cat>
          <c:val>
            <c:numRef>
              <c:f>Summary!$B$5:$B$10</c:f>
              <c:numCache>
                <c:formatCode>\$#,##0;"($"#,##0\);\-</c:formatCode>
                <c:ptCount val="6"/>
                <c:pt idx="0">
                  <c:v>4326000</c:v>
                </c:pt>
                <c:pt idx="1">
                  <c:v>1182000</c:v>
                </c:pt>
                <c:pt idx="2">
                  <c:v>2183000</c:v>
                </c:pt>
                <c:pt idx="3">
                  <c:v>2309000</c:v>
                </c:pt>
                <c:pt idx="4">
                  <c:v>1274000</c:v>
                </c:pt>
                <c:pt idx="5">
                  <c:v>2381000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FY2027 budget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Engineering</c:v>
                </c:pt>
                <c:pt idx="1">
                  <c:v>Product</c:v>
                </c:pt>
                <c:pt idx="2">
                  <c:v>Sales</c:v>
                </c:pt>
                <c:pt idx="3">
                  <c:v>Marketing</c:v>
                </c:pt>
                <c:pt idx="4">
                  <c:v>Customer Success</c:v>
                </c:pt>
                <c:pt idx="5">
                  <c:v>G&amp;A</c:v>
                </c:pt>
              </c:strCache>
            </c:strRef>
          </c:cat>
          <c:val>
            <c:numRef>
              <c:f>Summary!$C$5:$C$10</c:f>
              <c:numCache>
                <c:formatCode>\$#,##0;"($"#,##0\);\-</c:formatCode>
                <c:ptCount val="6"/>
                <c:pt idx="0">
                  <c:v>5018288.1172</c:v>
                </c:pt>
                <c:pt idx="1">
                  <c:v>1323535.6162</c:v>
                </c:pt>
                <c:pt idx="2">
                  <c:v>2619009.89066667</c:v>
                </c:pt>
                <c:pt idx="3">
                  <c:v>2539442.923</c:v>
                </c:pt>
                <c:pt idx="4">
                  <c:v>1376456.9436</c:v>
                </c:pt>
                <c:pt idx="5">
                  <c:v>2523439.44216667</c:v>
                </c:pt>
              </c:numCache>
            </c:numRef>
          </c:val>
        </c:ser>
        <c:gapWidth val="150"/>
        <c:overlap val="0"/>
        <c:axId val="31664433"/>
        <c:axId val="78555816"/>
      </c:barChart>
      <c:catAx>
        <c:axId val="316644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55816"/>
        <c:crosses val="autoZero"/>
        <c:auto val="1"/>
        <c:lblAlgn val="ctr"/>
        <c:lblOffset val="100"/>
        <c:noMultiLvlLbl val="0"/>
      </c:catAx>
      <c:valAx>
        <c:axId val="78555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64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160560</xdr:rowOff>
    </xdr:from>
    <xdr:to>
      <xdr:col>9</xdr:col>
      <xdr:colOff>135720</xdr:colOff>
      <xdr:row>27</xdr:row>
      <xdr:rowOff>182160</xdr:rowOff>
    </xdr:to>
    <xdr:graphicFrame>
      <xdr:nvGraphicFramePr>
        <xdr:cNvPr id="0" name="Chart 1"/>
        <xdr:cNvGraphicFramePr/>
      </xdr:nvGraphicFramePr>
      <xdr:xfrm>
        <a:off x="4511160" y="2665800"/>
        <a:ext cx="647928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7" t="str">
        <f aca="false">Assumptions!C5</f>
        <v>Plan</v>
      </c>
    </row>
    <row r="6" customFormat="false" ht="15" hidden="false" customHeight="true" outlineLevel="0" collapsed="false">
      <c r="A6" s="6" t="s">
        <v>4</v>
      </c>
      <c r="B6" s="8" t="n">
        <f aca="false">Summary!B15</f>
        <v>15400172.9328333</v>
      </c>
    </row>
    <row r="7" customFormat="false" ht="15" hidden="false" customHeight="true" outlineLevel="0" collapsed="false">
      <c r="A7" s="6" t="s">
        <v>5</v>
      </c>
      <c r="B7" s="8" t="n">
        <f aca="false">Summary!B17</f>
        <v>400172.932833333</v>
      </c>
    </row>
    <row r="8" customFormat="false" ht="15" hidden="false" customHeight="true" outlineLevel="0" collapsed="false">
      <c r="A8" s="6" t="s">
        <v>6</v>
      </c>
      <c r="B8" s="9" t="n">
        <f aca="false">Summary!B19</f>
        <v>0.789752458094017</v>
      </c>
    </row>
    <row r="9" customFormat="false" ht="15" hidden="false" customHeight="true" outlineLevel="0" collapsed="false">
      <c r="A9" s="6" t="s">
        <v>7</v>
      </c>
      <c r="B9" s="7" t="str">
        <f aca="false">TEXT(Summary!F11,"0")&amp;" → "&amp;TEXT(Summary!G11,"0")</f>
        <v>60 → 71</v>
      </c>
    </row>
    <row r="10" customFormat="false" ht="15" hidden="false" customHeight="true" outlineLevel="0" collapsed="false">
      <c r="A10" s="6" t="s">
        <v>8</v>
      </c>
      <c r="B10" s="10" t="n">
        <f aca="false">Summary!B24</f>
        <v>14</v>
      </c>
    </row>
    <row r="11" customFormat="false" ht="15" hidden="false" customHeight="true" outlineLevel="0" collapsed="false">
      <c r="A11" s="6" t="s">
        <v>9</v>
      </c>
      <c r="B11" s="9" t="n">
        <f aca="false">Summary!B23</f>
        <v>0.692490466136037</v>
      </c>
    </row>
    <row r="12" customFormat="false" ht="15" hidden="false" customHeight="true" outlineLevel="0" collapsed="false">
      <c r="A12" s="6" t="s">
        <v>10</v>
      </c>
      <c r="B12" s="7" t="str">
        <f aca="false">IF('Department Budget'!N96=0,"Yes","No — check")</f>
        <v>Yes</v>
      </c>
    </row>
    <row r="14" customFormat="false" ht="15" hidden="false" customHeight="true" outlineLevel="0" collapsed="false">
      <c r="A14" s="4" t="s">
        <v>11</v>
      </c>
      <c r="B14" s="5"/>
    </row>
    <row r="15" customFormat="false" ht="15" hidden="false" customHeight="true" outlineLevel="0" collapsed="false">
      <c r="A15" s="6" t="s">
        <v>12</v>
      </c>
    </row>
    <row r="16" customFormat="false" ht="15" hidden="false" customHeight="true" outlineLevel="0" collapsed="false">
      <c r="A16" s="6" t="s">
        <v>13</v>
      </c>
    </row>
    <row r="17" customFormat="false" ht="15" hidden="false" customHeight="true" outlineLevel="0" collapsed="false">
      <c r="A17" s="6" t="s">
        <v>14</v>
      </c>
    </row>
    <row r="18" customFormat="false" ht="15" hidden="false" customHeight="true" outlineLevel="0" collapsed="false">
      <c r="A18" s="6" t="s">
        <v>15</v>
      </c>
    </row>
    <row r="19" customFormat="false" ht="15" hidden="false" customHeight="true" outlineLevel="0" collapsed="false">
      <c r="A19" s="6" t="s">
        <v>16</v>
      </c>
    </row>
    <row r="20" customFormat="false" ht="15" hidden="false" customHeight="true" outlineLevel="0" collapsed="false">
      <c r="A20" s="6" t="s">
        <v>17</v>
      </c>
    </row>
    <row r="22" customFormat="false" ht="15" hidden="false" customHeight="true" outlineLevel="0" collapsed="false">
      <c r="A22" s="4" t="s">
        <v>18</v>
      </c>
      <c r="B22" s="5"/>
    </row>
    <row r="23" customFormat="false" ht="15" hidden="false" customHeight="true" outlineLevel="0" collapsed="false">
      <c r="A23" s="11" t="s">
        <v>19</v>
      </c>
    </row>
    <row r="24" customFormat="false" ht="15" hidden="false" customHeight="true" outlineLevel="0" collapsed="false">
      <c r="A24" s="12" t="s">
        <v>20</v>
      </c>
    </row>
    <row r="25" customFormat="false" ht="15" hidden="false" customHeight="true" outlineLevel="0" collapsed="false">
      <c r="A25" s="13" t="s">
        <v>21</v>
      </c>
    </row>
    <row r="26" customFormat="false" ht="15" hidden="false" customHeight="true" outlineLevel="0" collapsed="false">
      <c r="A26" s="1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4" min="3" style="1" width="34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15" t="s">
        <v>23</v>
      </c>
    </row>
    <row r="2" customFormat="false" ht="15" hidden="false" customHeight="true" outlineLevel="0" collapsed="false">
      <c r="A2" s="3" t="s">
        <v>24</v>
      </c>
    </row>
    <row r="4" customFormat="false" ht="15" hidden="false" customHeight="true" outlineLevel="0" collapsed="false">
      <c r="A4" s="4" t="s">
        <v>25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16" t="s">
        <v>26</v>
      </c>
      <c r="B5" s="17" t="n">
        <v>1</v>
      </c>
      <c r="C5" s="16" t="str">
        <f aca="false">CHOOSE($B$5,"Plan","Hiring freeze","Accelerated growth","Deferred hiring")</f>
        <v>Plan</v>
      </c>
    </row>
    <row r="7" customFormat="false" ht="15" hidden="false" customHeight="true" outlineLevel="0" collapsed="false">
      <c r="A7" s="18" t="s">
        <v>27</v>
      </c>
      <c r="B7" s="19" t="s">
        <v>28</v>
      </c>
      <c r="C7" s="19" t="s">
        <v>29</v>
      </c>
      <c r="D7" s="19" t="s">
        <v>30</v>
      </c>
      <c r="E7" s="19" t="s">
        <v>31</v>
      </c>
      <c r="F7" s="19" t="s">
        <v>32</v>
      </c>
    </row>
    <row r="8" customFormat="false" ht="15" hidden="false" customHeight="true" outlineLevel="0" collapsed="false">
      <c r="A8" s="6" t="s">
        <v>33</v>
      </c>
      <c r="B8" s="20" t="n">
        <v>2</v>
      </c>
      <c r="C8" s="20" t="n">
        <v>1</v>
      </c>
      <c r="D8" s="20" t="n">
        <v>3</v>
      </c>
      <c r="E8" s="20" t="n">
        <v>2</v>
      </c>
      <c r="F8" s="21" t="n">
        <f aca="false">INDEX(B8:E8,Assumptions!$B$5)</f>
        <v>2</v>
      </c>
    </row>
    <row r="9" customFormat="false" ht="15" hidden="false" customHeight="true" outlineLevel="0" collapsed="false">
      <c r="A9" s="6" t="s">
        <v>34</v>
      </c>
      <c r="B9" s="20" t="n">
        <v>0</v>
      </c>
      <c r="C9" s="20" t="n">
        <v>0</v>
      </c>
      <c r="D9" s="20" t="n">
        <v>1</v>
      </c>
      <c r="E9" s="20" t="n">
        <v>0</v>
      </c>
      <c r="F9" s="21" t="n">
        <f aca="false">INDEX(B9:E9,Assumptions!$B$5)</f>
        <v>0</v>
      </c>
    </row>
    <row r="10" customFormat="false" ht="15" hidden="false" customHeight="true" outlineLevel="0" collapsed="false">
      <c r="A10" s="6" t="s">
        <v>35</v>
      </c>
      <c r="B10" s="20" t="n">
        <v>0</v>
      </c>
      <c r="C10" s="20" t="n">
        <v>0</v>
      </c>
      <c r="D10" s="20" t="n">
        <v>0</v>
      </c>
      <c r="E10" s="20" t="n">
        <v>3</v>
      </c>
      <c r="F10" s="21" t="n">
        <f aca="false">INDEX(B10:E10,Assumptions!$B$5)</f>
        <v>0</v>
      </c>
    </row>
    <row r="11" customFormat="false" ht="15" hidden="false" customHeight="true" outlineLevel="0" collapsed="false">
      <c r="A11" s="6" t="s">
        <v>36</v>
      </c>
      <c r="B11" s="22" t="n">
        <v>0</v>
      </c>
      <c r="C11" s="22" t="n">
        <v>-0.15</v>
      </c>
      <c r="D11" s="22" t="n">
        <v>0.1</v>
      </c>
      <c r="E11" s="22" t="n">
        <v>-0.05</v>
      </c>
      <c r="F11" s="23" t="n">
        <f aca="false">INDEX(B11:E11,Assumptions!$B$5)</f>
        <v>0</v>
      </c>
    </row>
    <row r="12" customFormat="false" ht="15" hidden="false" customHeight="true" outlineLevel="0" collapsed="false">
      <c r="A12" s="3" t="s">
        <v>37</v>
      </c>
    </row>
    <row r="13" customFormat="false" ht="15" hidden="false" customHeight="true" outlineLevel="0" collapsed="false">
      <c r="A13" s="4" t="s">
        <v>38</v>
      </c>
      <c r="B13" s="5"/>
      <c r="C13" s="5"/>
      <c r="D13" s="5"/>
      <c r="E13" s="5"/>
      <c r="F13" s="5"/>
    </row>
    <row r="14" customFormat="false" ht="15" hidden="false" customHeight="true" outlineLevel="0" collapsed="false">
      <c r="A14" s="6" t="s">
        <v>39</v>
      </c>
      <c r="B14" s="24" t="n">
        <v>46388</v>
      </c>
    </row>
    <row r="15" customFormat="false" ht="15" hidden="false" customHeight="true" outlineLevel="0" collapsed="false">
      <c r="A15" s="6" t="s">
        <v>40</v>
      </c>
      <c r="B15" s="25" t="n">
        <v>0.072</v>
      </c>
      <c r="C15" s="3" t="s">
        <v>41</v>
      </c>
    </row>
    <row r="16" customFormat="false" ht="15" hidden="false" customHeight="true" outlineLevel="0" collapsed="false">
      <c r="A16" s="6" t="s">
        <v>42</v>
      </c>
      <c r="B16" s="26" t="n">
        <v>1150</v>
      </c>
      <c r="C16" s="3" t="s">
        <v>43</v>
      </c>
    </row>
    <row r="17" customFormat="false" ht="15" hidden="false" customHeight="true" outlineLevel="0" collapsed="false">
      <c r="A17" s="6" t="s">
        <v>44</v>
      </c>
      <c r="B17" s="25" t="n">
        <v>0.035</v>
      </c>
    </row>
    <row r="18" customFormat="false" ht="15" hidden="false" customHeight="true" outlineLevel="0" collapsed="false">
      <c r="A18" s="6" t="s">
        <v>45</v>
      </c>
      <c r="B18" s="24" t="n">
        <v>46478</v>
      </c>
    </row>
    <row r="19" customFormat="false" ht="15" hidden="false" customHeight="true" outlineLevel="0" collapsed="false">
      <c r="A19" s="6" t="s">
        <v>46</v>
      </c>
      <c r="B19" s="25" t="n">
        <v>0.15</v>
      </c>
      <c r="C19" s="3" t="s">
        <v>47</v>
      </c>
    </row>
    <row r="20" customFormat="false" ht="15" hidden="false" customHeight="true" outlineLevel="0" collapsed="false">
      <c r="A20" s="6" t="s">
        <v>48</v>
      </c>
      <c r="B20" s="26" t="n">
        <v>3000</v>
      </c>
    </row>
    <row r="21" customFormat="false" ht="15" hidden="false" customHeight="true" outlineLevel="0" collapsed="false">
      <c r="A21" s="6" t="s">
        <v>49</v>
      </c>
      <c r="B21" s="26" t="n">
        <v>250</v>
      </c>
    </row>
    <row r="22" customFormat="false" ht="15" hidden="false" customHeight="true" outlineLevel="0" collapsed="false">
      <c r="A22" s="6" t="s">
        <v>50</v>
      </c>
      <c r="B22" s="26" t="n">
        <v>600</v>
      </c>
    </row>
    <row r="23" customFormat="false" ht="15" hidden="false" customHeight="true" outlineLevel="0" collapsed="false">
      <c r="A23" s="6" t="s">
        <v>51</v>
      </c>
      <c r="B23" s="25" t="n">
        <v>0.3</v>
      </c>
      <c r="C23" s="3" t="s">
        <v>52</v>
      </c>
    </row>
    <row r="25" customFormat="false" ht="15" hidden="false" customHeight="true" outlineLevel="0" collapsed="false">
      <c r="A25" s="4" t="s">
        <v>53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27" t="s">
        <v>54</v>
      </c>
      <c r="B26" s="27" t="s">
        <v>55</v>
      </c>
    </row>
    <row r="27" customFormat="false" ht="15" hidden="false" customHeight="true" outlineLevel="0" collapsed="false">
      <c r="A27" s="28" t="n">
        <v>1</v>
      </c>
      <c r="B27" s="25" t="n">
        <v>0.05</v>
      </c>
    </row>
    <row r="28" customFormat="false" ht="15" hidden="false" customHeight="true" outlineLevel="0" collapsed="false">
      <c r="A28" s="28" t="n">
        <v>2</v>
      </c>
      <c r="B28" s="25" t="n">
        <v>0.08</v>
      </c>
    </row>
    <row r="29" customFormat="false" ht="15" hidden="false" customHeight="true" outlineLevel="0" collapsed="false">
      <c r="A29" s="28" t="n">
        <v>3</v>
      </c>
      <c r="B29" s="25" t="n">
        <v>0.1</v>
      </c>
    </row>
    <row r="30" customFormat="false" ht="15" hidden="false" customHeight="true" outlineLevel="0" collapsed="false">
      <c r="A30" s="28" t="n">
        <v>4</v>
      </c>
      <c r="B30" s="25" t="n">
        <v>0.15</v>
      </c>
    </row>
    <row r="31" customFormat="false" ht="15" hidden="false" customHeight="true" outlineLevel="0" collapsed="false">
      <c r="A31" s="28" t="n">
        <v>5</v>
      </c>
      <c r="B31" s="25" t="n">
        <v>0.2</v>
      </c>
    </row>
    <row r="33" customFormat="false" ht="15" hidden="false" customHeight="true" outlineLevel="0" collapsed="false">
      <c r="A33" s="4" t="s">
        <v>56</v>
      </c>
      <c r="B33" s="5"/>
      <c r="C33" s="5"/>
      <c r="D33" s="5"/>
      <c r="E33" s="5"/>
      <c r="F33" s="5"/>
    </row>
    <row r="34" customFormat="false" ht="15" hidden="false" customHeight="true" outlineLevel="0" collapsed="false">
      <c r="A34" s="27" t="s">
        <v>57</v>
      </c>
      <c r="B34" s="27" t="s">
        <v>58</v>
      </c>
      <c r="C34" s="27" t="s">
        <v>59</v>
      </c>
      <c r="D34" s="27" t="s">
        <v>60</v>
      </c>
    </row>
    <row r="35" customFormat="false" ht="15" hidden="false" customHeight="true" outlineLevel="0" collapsed="false">
      <c r="A35" s="6" t="s">
        <v>61</v>
      </c>
      <c r="B35" s="26" t="n">
        <v>150</v>
      </c>
      <c r="C35" s="26" t="n">
        <v>600000</v>
      </c>
      <c r="D35" s="3" t="s">
        <v>62</v>
      </c>
    </row>
    <row r="36" customFormat="false" ht="15" hidden="false" customHeight="true" outlineLevel="0" collapsed="false">
      <c r="A36" s="6" t="s">
        <v>63</v>
      </c>
      <c r="B36" s="26" t="n">
        <v>200</v>
      </c>
      <c r="C36" s="26" t="n">
        <v>100000</v>
      </c>
      <c r="D36" s="3" t="s">
        <v>64</v>
      </c>
    </row>
    <row r="37" customFormat="false" ht="15" hidden="false" customHeight="true" outlineLevel="0" collapsed="false">
      <c r="A37" s="6" t="s">
        <v>65</v>
      </c>
      <c r="B37" s="26" t="n">
        <v>1200</v>
      </c>
      <c r="C37" s="26" t="n">
        <v>300000</v>
      </c>
      <c r="D37" s="3" t="s">
        <v>66</v>
      </c>
    </row>
    <row r="38" customFormat="false" ht="15" hidden="false" customHeight="true" outlineLevel="0" collapsed="false">
      <c r="A38" s="6" t="s">
        <v>67</v>
      </c>
      <c r="B38" s="26" t="n">
        <v>400</v>
      </c>
      <c r="C38" s="26" t="n">
        <v>1400000</v>
      </c>
      <c r="D38" s="3" t="s">
        <v>68</v>
      </c>
    </row>
    <row r="39" customFormat="false" ht="15" hidden="false" customHeight="true" outlineLevel="0" collapsed="false">
      <c r="A39" s="6" t="s">
        <v>69</v>
      </c>
      <c r="B39" s="26" t="n">
        <v>200</v>
      </c>
      <c r="C39" s="26" t="n">
        <v>150000</v>
      </c>
      <c r="D39" s="3" t="s">
        <v>70</v>
      </c>
    </row>
    <row r="40" customFormat="false" ht="15" hidden="false" customHeight="true" outlineLevel="0" collapsed="false">
      <c r="A40" s="6" t="s">
        <v>71</v>
      </c>
      <c r="B40" s="26" t="n">
        <v>150</v>
      </c>
      <c r="C40" s="26" t="n">
        <v>900000</v>
      </c>
      <c r="D40" s="3" t="s">
        <v>72</v>
      </c>
    </row>
    <row r="42" customFormat="false" ht="15" hidden="false" customHeight="true" outlineLevel="0" collapsed="false">
      <c r="A42" s="4" t="s">
        <v>73</v>
      </c>
      <c r="B42" s="5"/>
      <c r="C42" s="5"/>
      <c r="D42" s="5"/>
      <c r="E42" s="5"/>
      <c r="F42" s="5"/>
    </row>
    <row r="43" customFormat="false" ht="15" hidden="false" customHeight="true" outlineLevel="0" collapsed="false">
      <c r="A43" s="6" t="s">
        <v>74</v>
      </c>
      <c r="B43" s="26" t="n">
        <v>19500000</v>
      </c>
      <c r="C43" s="3" t="s">
        <v>75</v>
      </c>
    </row>
    <row r="44" customFormat="false" ht="15" hidden="false" customHeight="true" outlineLevel="0" collapsed="false">
      <c r="A44" s="6" t="s">
        <v>76</v>
      </c>
      <c r="B44" s="26" t="n">
        <v>15000000</v>
      </c>
    </row>
    <row r="45" customFormat="false" ht="15" hidden="false" customHeight="true" outlineLevel="0" collapsed="false">
      <c r="A45" s="6" t="s">
        <v>77</v>
      </c>
      <c r="B45" s="29" t="n">
        <v>15000000</v>
      </c>
      <c r="C45" s="3" t="s">
        <v>78</v>
      </c>
    </row>
  </sheetData>
  <dataValidations count="1">
    <dataValidation allowBlank="false" errorStyle="stop" operator="between" showDropDown="false" showErrorMessage="false" showInputMessage="false" sqref="B5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7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8" min="7" style="1" width="13"/>
    <col collapsed="false" customWidth="true" hidden="false" outlineLevel="0" max="9" min="9" style="1" width="9"/>
    <col collapsed="false" customWidth="true" hidden="false" outlineLevel="0" max="10" min="10" style="1" width="42"/>
  </cols>
  <sheetData>
    <row r="1" customFormat="false" ht="17.25" hidden="false" customHeight="true" outlineLevel="0" collapsed="false">
      <c r="A1" s="15" t="s">
        <v>79</v>
      </c>
    </row>
    <row r="2" customFormat="false" ht="15" hidden="false" customHeight="true" outlineLevel="0" collapsed="false">
      <c r="A2" s="3" t="s">
        <v>80</v>
      </c>
    </row>
    <row r="5" customFormat="false" ht="23.25" hidden="false" customHeight="true" outlineLevel="0" collapsed="false">
      <c r="A5" s="30" t="s">
        <v>81</v>
      </c>
      <c r="B5" s="30" t="s">
        <v>57</v>
      </c>
      <c r="C5" s="30" t="s">
        <v>82</v>
      </c>
      <c r="D5" s="30" t="s">
        <v>54</v>
      </c>
      <c r="E5" s="30" t="s">
        <v>83</v>
      </c>
      <c r="F5" s="30" t="s">
        <v>84</v>
      </c>
      <c r="G5" s="30" t="s">
        <v>85</v>
      </c>
      <c r="H5" s="30" t="s">
        <v>86</v>
      </c>
      <c r="I5" s="30" t="s">
        <v>87</v>
      </c>
      <c r="J5" s="30" t="s">
        <v>88</v>
      </c>
    </row>
    <row r="6" customFormat="false" ht="15" hidden="false" customHeight="true" outlineLevel="0" collapsed="false">
      <c r="A6" s="11" t="s">
        <v>89</v>
      </c>
      <c r="B6" s="11" t="s">
        <v>61</v>
      </c>
      <c r="C6" s="11" t="s">
        <v>90</v>
      </c>
      <c r="D6" s="31" t="n">
        <v>1</v>
      </c>
      <c r="E6" s="11" t="s">
        <v>91</v>
      </c>
      <c r="F6" s="26" t="n">
        <v>84500</v>
      </c>
      <c r="G6" s="24" t="n">
        <v>44713</v>
      </c>
      <c r="H6" s="24"/>
      <c r="I6" s="31"/>
      <c r="J6" s="11"/>
    </row>
    <row r="7" customFormat="false" ht="15" hidden="false" customHeight="true" outlineLevel="0" collapsed="false">
      <c r="A7" s="11" t="s">
        <v>92</v>
      </c>
      <c r="B7" s="11" t="s">
        <v>61</v>
      </c>
      <c r="C7" s="11" t="s">
        <v>90</v>
      </c>
      <c r="D7" s="31" t="n">
        <v>1</v>
      </c>
      <c r="E7" s="11" t="s">
        <v>91</v>
      </c>
      <c r="F7" s="26" t="n">
        <v>81000</v>
      </c>
      <c r="G7" s="24" t="n">
        <v>45962</v>
      </c>
      <c r="H7" s="24"/>
      <c r="I7" s="31"/>
      <c r="J7" s="11"/>
    </row>
    <row r="8" customFormat="false" ht="15" hidden="false" customHeight="true" outlineLevel="0" collapsed="false">
      <c r="A8" s="11" t="s">
        <v>93</v>
      </c>
      <c r="B8" s="11" t="s">
        <v>61</v>
      </c>
      <c r="C8" s="11" t="s">
        <v>90</v>
      </c>
      <c r="D8" s="31" t="n">
        <v>1</v>
      </c>
      <c r="E8" s="11" t="s">
        <v>91</v>
      </c>
      <c r="F8" s="26" t="n">
        <v>86000</v>
      </c>
      <c r="G8" s="24" t="n">
        <v>43922</v>
      </c>
      <c r="H8" s="24"/>
      <c r="I8" s="31"/>
      <c r="J8" s="11"/>
    </row>
    <row r="9" customFormat="false" ht="15" hidden="false" customHeight="true" outlineLevel="0" collapsed="false">
      <c r="A9" s="11" t="s">
        <v>94</v>
      </c>
      <c r="B9" s="11" t="s">
        <v>61</v>
      </c>
      <c r="C9" s="11" t="s">
        <v>90</v>
      </c>
      <c r="D9" s="31" t="n">
        <v>1</v>
      </c>
      <c r="E9" s="11" t="s">
        <v>91</v>
      </c>
      <c r="F9" s="26" t="n">
        <v>79500</v>
      </c>
      <c r="G9" s="24" t="n">
        <v>45170</v>
      </c>
      <c r="H9" s="24"/>
      <c r="I9" s="31"/>
      <c r="J9" s="11"/>
    </row>
    <row r="10" customFormat="false" ht="15" hidden="false" customHeight="true" outlineLevel="0" collapsed="false">
      <c r="A10" s="11" t="s">
        <v>95</v>
      </c>
      <c r="B10" s="11" t="s">
        <v>61</v>
      </c>
      <c r="C10" s="11" t="s">
        <v>96</v>
      </c>
      <c r="D10" s="31" t="n">
        <v>2</v>
      </c>
      <c r="E10" s="11" t="s">
        <v>91</v>
      </c>
      <c r="F10" s="26" t="n">
        <v>110500</v>
      </c>
      <c r="G10" s="24" t="n">
        <v>46054</v>
      </c>
      <c r="H10" s="24"/>
      <c r="I10" s="31"/>
      <c r="J10" s="11"/>
    </row>
    <row r="11" customFormat="false" ht="15" hidden="false" customHeight="true" outlineLevel="0" collapsed="false">
      <c r="A11" s="11" t="s">
        <v>97</v>
      </c>
      <c r="B11" s="11" t="s">
        <v>61</v>
      </c>
      <c r="C11" s="11" t="s">
        <v>96</v>
      </c>
      <c r="D11" s="31" t="n">
        <v>2</v>
      </c>
      <c r="E11" s="11" t="s">
        <v>91</v>
      </c>
      <c r="F11" s="26" t="n">
        <v>108000</v>
      </c>
      <c r="G11" s="24" t="n">
        <v>44378</v>
      </c>
      <c r="H11" s="24"/>
      <c r="I11" s="31"/>
      <c r="J11" s="11"/>
    </row>
    <row r="12" customFormat="false" ht="15" hidden="false" customHeight="true" outlineLevel="0" collapsed="false">
      <c r="A12" s="11" t="s">
        <v>98</v>
      </c>
      <c r="B12" s="11" t="s">
        <v>61</v>
      </c>
      <c r="C12" s="11" t="s">
        <v>96</v>
      </c>
      <c r="D12" s="31" t="n">
        <v>2</v>
      </c>
      <c r="E12" s="11" t="s">
        <v>91</v>
      </c>
      <c r="F12" s="26" t="n">
        <v>112500</v>
      </c>
      <c r="G12" s="24" t="n">
        <v>45627</v>
      </c>
      <c r="H12" s="24"/>
      <c r="I12" s="31"/>
      <c r="J12" s="11"/>
    </row>
    <row r="13" customFormat="false" ht="15" hidden="false" customHeight="true" outlineLevel="0" collapsed="false">
      <c r="A13" s="11" t="s">
        <v>99</v>
      </c>
      <c r="B13" s="11" t="s">
        <v>61</v>
      </c>
      <c r="C13" s="11" t="s">
        <v>96</v>
      </c>
      <c r="D13" s="31" t="n">
        <v>2</v>
      </c>
      <c r="E13" s="11" t="s">
        <v>91</v>
      </c>
      <c r="F13" s="26" t="n">
        <v>109000</v>
      </c>
      <c r="G13" s="24" t="n">
        <v>43586</v>
      </c>
      <c r="H13" s="24"/>
      <c r="I13" s="31"/>
      <c r="J13" s="11"/>
    </row>
    <row r="14" customFormat="false" ht="15" hidden="false" customHeight="true" outlineLevel="0" collapsed="false">
      <c r="A14" s="11" t="s">
        <v>100</v>
      </c>
      <c r="B14" s="11" t="s">
        <v>61</v>
      </c>
      <c r="C14" s="11" t="s">
        <v>96</v>
      </c>
      <c r="D14" s="31" t="n">
        <v>2</v>
      </c>
      <c r="E14" s="11" t="s">
        <v>91</v>
      </c>
      <c r="F14" s="26" t="n">
        <v>111500</v>
      </c>
      <c r="G14" s="24" t="n">
        <v>44835</v>
      </c>
      <c r="H14" s="24"/>
      <c r="I14" s="31"/>
      <c r="J14" s="11"/>
    </row>
    <row r="15" customFormat="false" ht="15" hidden="false" customHeight="true" outlineLevel="0" collapsed="false">
      <c r="A15" s="11" t="s">
        <v>101</v>
      </c>
      <c r="B15" s="11" t="s">
        <v>61</v>
      </c>
      <c r="C15" s="11" t="s">
        <v>96</v>
      </c>
      <c r="D15" s="31" t="n">
        <v>2</v>
      </c>
      <c r="E15" s="11" t="s">
        <v>91</v>
      </c>
      <c r="F15" s="26" t="n">
        <v>107000</v>
      </c>
      <c r="G15" s="24" t="n">
        <v>45717</v>
      </c>
      <c r="H15" s="24"/>
      <c r="I15" s="31"/>
      <c r="J15" s="11"/>
    </row>
    <row r="16" customFormat="false" ht="15" hidden="false" customHeight="true" outlineLevel="0" collapsed="false">
      <c r="A16" s="11" t="s">
        <v>102</v>
      </c>
      <c r="B16" s="11" t="s">
        <v>61</v>
      </c>
      <c r="C16" s="11" t="s">
        <v>103</v>
      </c>
      <c r="D16" s="31" t="n">
        <v>3</v>
      </c>
      <c r="E16" s="11" t="s">
        <v>91</v>
      </c>
      <c r="F16" s="26" t="n">
        <v>153000</v>
      </c>
      <c r="G16" s="24" t="n">
        <v>44044</v>
      </c>
      <c r="H16" s="24" t="n">
        <v>46507</v>
      </c>
      <c r="I16" s="31"/>
      <c r="J16" s="11" t="s">
        <v>104</v>
      </c>
    </row>
    <row r="17" customFormat="false" ht="15" hidden="false" customHeight="true" outlineLevel="0" collapsed="false">
      <c r="A17" s="11" t="s">
        <v>105</v>
      </c>
      <c r="B17" s="11" t="s">
        <v>61</v>
      </c>
      <c r="C17" s="11" t="s">
        <v>103</v>
      </c>
      <c r="D17" s="31" t="n">
        <v>3</v>
      </c>
      <c r="E17" s="11" t="s">
        <v>91</v>
      </c>
      <c r="F17" s="26" t="n">
        <v>141500</v>
      </c>
      <c r="G17" s="24" t="n">
        <v>44927</v>
      </c>
      <c r="H17" s="24"/>
      <c r="I17" s="31"/>
      <c r="J17" s="11"/>
    </row>
    <row r="18" customFormat="false" ht="15" hidden="false" customHeight="true" outlineLevel="0" collapsed="false">
      <c r="A18" s="11" t="s">
        <v>106</v>
      </c>
      <c r="B18" s="11" t="s">
        <v>61</v>
      </c>
      <c r="C18" s="11" t="s">
        <v>103</v>
      </c>
      <c r="D18" s="31" t="n">
        <v>3</v>
      </c>
      <c r="E18" s="11" t="s">
        <v>91</v>
      </c>
      <c r="F18" s="26" t="n">
        <v>148500</v>
      </c>
      <c r="G18" s="24" t="n">
        <v>46174</v>
      </c>
      <c r="H18" s="24"/>
      <c r="I18" s="31"/>
      <c r="J18" s="11"/>
    </row>
    <row r="19" customFormat="false" ht="15" hidden="false" customHeight="true" outlineLevel="0" collapsed="false">
      <c r="A19" s="11" t="s">
        <v>107</v>
      </c>
      <c r="B19" s="11" t="s">
        <v>61</v>
      </c>
      <c r="C19" s="11" t="s">
        <v>103</v>
      </c>
      <c r="D19" s="31" t="n">
        <v>3</v>
      </c>
      <c r="E19" s="11" t="s">
        <v>91</v>
      </c>
      <c r="F19" s="26" t="n">
        <v>145500</v>
      </c>
      <c r="G19" s="24" t="n">
        <v>44501</v>
      </c>
      <c r="H19" s="24"/>
      <c r="I19" s="31"/>
      <c r="J19" s="11"/>
    </row>
    <row r="20" customFormat="false" ht="15" hidden="false" customHeight="true" outlineLevel="0" collapsed="false">
      <c r="A20" s="11" t="s">
        <v>108</v>
      </c>
      <c r="B20" s="11" t="s">
        <v>61</v>
      </c>
      <c r="C20" s="11" t="s">
        <v>103</v>
      </c>
      <c r="D20" s="31" t="n">
        <v>3</v>
      </c>
      <c r="E20" s="11" t="s">
        <v>91</v>
      </c>
      <c r="F20" s="26" t="n">
        <v>151500</v>
      </c>
      <c r="G20" s="24" t="n">
        <v>45383</v>
      </c>
      <c r="H20" s="24"/>
      <c r="I20" s="31"/>
      <c r="J20" s="11"/>
    </row>
    <row r="21" customFormat="false" ht="15" hidden="false" customHeight="true" outlineLevel="0" collapsed="false">
      <c r="A21" s="11" t="s">
        <v>109</v>
      </c>
      <c r="B21" s="11" t="s">
        <v>61</v>
      </c>
      <c r="C21" s="11" t="s">
        <v>103</v>
      </c>
      <c r="D21" s="31" t="n">
        <v>3</v>
      </c>
      <c r="E21" s="11" t="s">
        <v>91</v>
      </c>
      <c r="F21" s="26" t="n">
        <v>147000</v>
      </c>
      <c r="G21" s="24" t="n">
        <v>43709</v>
      </c>
      <c r="H21" s="24"/>
      <c r="I21" s="31"/>
      <c r="J21" s="11"/>
    </row>
    <row r="22" customFormat="false" ht="15" hidden="false" customHeight="true" outlineLevel="0" collapsed="false">
      <c r="A22" s="11" t="s">
        <v>110</v>
      </c>
      <c r="B22" s="11" t="s">
        <v>61</v>
      </c>
      <c r="C22" s="11" t="s">
        <v>111</v>
      </c>
      <c r="D22" s="31" t="n">
        <v>4</v>
      </c>
      <c r="E22" s="11" t="s">
        <v>91</v>
      </c>
      <c r="F22" s="26" t="n">
        <v>193500</v>
      </c>
      <c r="G22" s="24" t="n">
        <v>44593</v>
      </c>
      <c r="H22" s="24"/>
      <c r="I22" s="31"/>
      <c r="J22" s="11"/>
    </row>
    <row r="23" customFormat="false" ht="15" hidden="false" customHeight="true" outlineLevel="0" collapsed="false">
      <c r="A23" s="11" t="s">
        <v>112</v>
      </c>
      <c r="B23" s="11" t="s">
        <v>61</v>
      </c>
      <c r="C23" s="11" t="s">
        <v>111</v>
      </c>
      <c r="D23" s="31" t="n">
        <v>4</v>
      </c>
      <c r="E23" s="11" t="s">
        <v>91</v>
      </c>
      <c r="F23" s="26" t="n">
        <v>186000</v>
      </c>
      <c r="G23" s="24" t="n">
        <v>45839</v>
      </c>
      <c r="H23" s="24"/>
      <c r="I23" s="31"/>
      <c r="J23" s="11"/>
    </row>
    <row r="24" customFormat="false" ht="15" hidden="false" customHeight="true" outlineLevel="0" collapsed="false">
      <c r="A24" s="11" t="s">
        <v>113</v>
      </c>
      <c r="B24" s="11" t="s">
        <v>61</v>
      </c>
      <c r="C24" s="11" t="s">
        <v>111</v>
      </c>
      <c r="D24" s="31" t="n">
        <v>4</v>
      </c>
      <c r="E24" s="11" t="s">
        <v>91</v>
      </c>
      <c r="F24" s="26" t="n">
        <v>197500</v>
      </c>
      <c r="G24" s="24" t="n">
        <v>44166</v>
      </c>
      <c r="H24" s="24"/>
      <c r="I24" s="31"/>
      <c r="J24" s="11"/>
    </row>
    <row r="25" customFormat="false" ht="15" hidden="false" customHeight="true" outlineLevel="0" collapsed="false">
      <c r="A25" s="11" t="s">
        <v>114</v>
      </c>
      <c r="B25" s="11" t="s">
        <v>61</v>
      </c>
      <c r="C25" s="11" t="s">
        <v>115</v>
      </c>
      <c r="D25" s="31" t="n">
        <v>5</v>
      </c>
      <c r="E25" s="11" t="s">
        <v>91</v>
      </c>
      <c r="F25" s="26" t="n">
        <v>243000</v>
      </c>
      <c r="G25" s="24" t="n">
        <v>45047</v>
      </c>
      <c r="H25" s="24"/>
      <c r="I25" s="31"/>
      <c r="J25" s="11"/>
    </row>
    <row r="26" customFormat="false" ht="15" hidden="false" customHeight="true" outlineLevel="0" collapsed="false">
      <c r="A26" s="11" t="s">
        <v>116</v>
      </c>
      <c r="B26" s="11" t="s">
        <v>63</v>
      </c>
      <c r="C26" s="11" t="s">
        <v>117</v>
      </c>
      <c r="D26" s="31" t="n">
        <v>2</v>
      </c>
      <c r="E26" s="11" t="s">
        <v>91</v>
      </c>
      <c r="F26" s="26" t="n">
        <v>100500</v>
      </c>
      <c r="G26" s="24" t="n">
        <v>45809</v>
      </c>
      <c r="H26" s="24"/>
      <c r="I26" s="31"/>
      <c r="J26" s="11"/>
    </row>
    <row r="27" customFormat="false" ht="15" hidden="false" customHeight="true" outlineLevel="0" collapsed="false">
      <c r="A27" s="11" t="s">
        <v>118</v>
      </c>
      <c r="B27" s="11" t="s">
        <v>63</v>
      </c>
      <c r="C27" s="11" t="s">
        <v>117</v>
      </c>
      <c r="D27" s="31" t="n">
        <v>2</v>
      </c>
      <c r="E27" s="11" t="s">
        <v>91</v>
      </c>
      <c r="F27" s="26" t="n">
        <v>105500</v>
      </c>
      <c r="G27" s="24" t="n">
        <v>44136</v>
      </c>
      <c r="H27" s="24"/>
      <c r="I27" s="31"/>
      <c r="J27" s="11"/>
    </row>
    <row r="28" customFormat="false" ht="15" hidden="false" customHeight="true" outlineLevel="0" collapsed="false">
      <c r="A28" s="11" t="s">
        <v>119</v>
      </c>
      <c r="B28" s="11" t="s">
        <v>63</v>
      </c>
      <c r="C28" s="11" t="s">
        <v>120</v>
      </c>
      <c r="D28" s="31" t="n">
        <v>3</v>
      </c>
      <c r="E28" s="11" t="s">
        <v>91</v>
      </c>
      <c r="F28" s="26" t="n">
        <v>139500</v>
      </c>
      <c r="G28" s="24" t="n">
        <v>45017</v>
      </c>
      <c r="H28" s="24"/>
      <c r="I28" s="31"/>
      <c r="J28" s="11"/>
    </row>
    <row r="29" customFormat="false" ht="15" hidden="false" customHeight="true" outlineLevel="0" collapsed="false">
      <c r="A29" s="11" t="s">
        <v>121</v>
      </c>
      <c r="B29" s="11" t="s">
        <v>63</v>
      </c>
      <c r="C29" s="11" t="s">
        <v>120</v>
      </c>
      <c r="D29" s="31" t="n">
        <v>3</v>
      </c>
      <c r="E29" s="11" t="s">
        <v>91</v>
      </c>
      <c r="F29" s="26" t="n">
        <v>145000</v>
      </c>
      <c r="G29" s="24" t="n">
        <v>46266</v>
      </c>
      <c r="H29" s="24"/>
      <c r="I29" s="31"/>
      <c r="J29" s="11"/>
    </row>
    <row r="30" customFormat="false" ht="15" hidden="false" customHeight="true" outlineLevel="0" collapsed="false">
      <c r="A30" s="11" t="s">
        <v>122</v>
      </c>
      <c r="B30" s="11" t="s">
        <v>63</v>
      </c>
      <c r="C30" s="11" t="s">
        <v>123</v>
      </c>
      <c r="D30" s="31" t="n">
        <v>5</v>
      </c>
      <c r="E30" s="11" t="s">
        <v>91</v>
      </c>
      <c r="F30" s="26" t="n">
        <v>242000</v>
      </c>
      <c r="G30" s="24" t="n">
        <v>44228</v>
      </c>
      <c r="H30" s="24"/>
      <c r="I30" s="31"/>
      <c r="J30" s="11"/>
    </row>
    <row r="31" customFormat="false" ht="15" hidden="false" customHeight="true" outlineLevel="0" collapsed="false">
      <c r="A31" s="11" t="s">
        <v>124</v>
      </c>
      <c r="B31" s="11" t="s">
        <v>65</v>
      </c>
      <c r="C31" s="11" t="s">
        <v>125</v>
      </c>
      <c r="D31" s="31" t="n">
        <v>1</v>
      </c>
      <c r="E31" s="11" t="s">
        <v>91</v>
      </c>
      <c r="F31" s="26" t="n">
        <v>63000</v>
      </c>
      <c r="G31" s="24" t="n">
        <v>43983</v>
      </c>
      <c r="H31" s="24"/>
      <c r="I31" s="31"/>
      <c r="J31" s="11"/>
    </row>
    <row r="32" customFormat="false" ht="15" hidden="false" customHeight="true" outlineLevel="0" collapsed="false">
      <c r="A32" s="11" t="s">
        <v>126</v>
      </c>
      <c r="B32" s="11" t="s">
        <v>65</v>
      </c>
      <c r="C32" s="11" t="s">
        <v>125</v>
      </c>
      <c r="D32" s="31" t="n">
        <v>1</v>
      </c>
      <c r="E32" s="11" t="s">
        <v>91</v>
      </c>
      <c r="F32" s="26" t="n">
        <v>61000</v>
      </c>
      <c r="G32" s="24" t="n">
        <v>45231</v>
      </c>
      <c r="H32" s="24"/>
      <c r="I32" s="31"/>
      <c r="J32" s="11"/>
    </row>
    <row r="33" customFormat="false" ht="15" hidden="false" customHeight="true" outlineLevel="0" collapsed="false">
      <c r="A33" s="11" t="s">
        <v>127</v>
      </c>
      <c r="B33" s="11" t="s">
        <v>65</v>
      </c>
      <c r="C33" s="11" t="s">
        <v>125</v>
      </c>
      <c r="D33" s="31" t="n">
        <v>1</v>
      </c>
      <c r="E33" s="11" t="s">
        <v>91</v>
      </c>
      <c r="F33" s="26" t="n">
        <v>62500</v>
      </c>
      <c r="G33" s="24" t="n">
        <v>46113</v>
      </c>
      <c r="H33" s="24"/>
      <c r="I33" s="31"/>
      <c r="J33" s="11"/>
    </row>
    <row r="34" customFormat="false" ht="15" hidden="false" customHeight="true" outlineLevel="0" collapsed="false">
      <c r="A34" s="11" t="s">
        <v>128</v>
      </c>
      <c r="B34" s="11" t="s">
        <v>65</v>
      </c>
      <c r="C34" s="11" t="s">
        <v>125</v>
      </c>
      <c r="D34" s="31" t="n">
        <v>1</v>
      </c>
      <c r="E34" s="11" t="s">
        <v>91</v>
      </c>
      <c r="F34" s="26" t="n">
        <v>60000</v>
      </c>
      <c r="G34" s="24" t="n">
        <v>44440</v>
      </c>
      <c r="H34" s="24"/>
      <c r="I34" s="31"/>
      <c r="J34" s="11"/>
    </row>
    <row r="35" customFormat="false" ht="15" hidden="false" customHeight="true" outlineLevel="0" collapsed="false">
      <c r="A35" s="11" t="s">
        <v>129</v>
      </c>
      <c r="B35" s="11" t="s">
        <v>65</v>
      </c>
      <c r="C35" s="11" t="s">
        <v>130</v>
      </c>
      <c r="D35" s="31" t="n">
        <v>2</v>
      </c>
      <c r="E35" s="11" t="s">
        <v>91</v>
      </c>
      <c r="F35" s="26" t="n">
        <v>84000</v>
      </c>
      <c r="G35" s="24" t="n">
        <v>45323</v>
      </c>
      <c r="H35" s="24"/>
      <c r="I35" s="31"/>
      <c r="J35" s="11"/>
    </row>
    <row r="36" customFormat="false" ht="15" hidden="false" customHeight="true" outlineLevel="0" collapsed="false">
      <c r="A36" s="11" t="s">
        <v>131</v>
      </c>
      <c r="B36" s="11" t="s">
        <v>65</v>
      </c>
      <c r="C36" s="11" t="s">
        <v>130</v>
      </c>
      <c r="D36" s="31" t="n">
        <v>2</v>
      </c>
      <c r="E36" s="11" t="s">
        <v>91</v>
      </c>
      <c r="F36" s="26" t="n">
        <v>77500</v>
      </c>
      <c r="G36" s="24" t="n">
        <v>43647</v>
      </c>
      <c r="H36" s="24" t="n">
        <v>46568</v>
      </c>
      <c r="I36" s="31"/>
      <c r="J36" s="11" t="s">
        <v>104</v>
      </c>
    </row>
    <row r="37" customFormat="false" ht="15" hidden="false" customHeight="true" outlineLevel="0" collapsed="false">
      <c r="A37" s="11" t="s">
        <v>132</v>
      </c>
      <c r="B37" s="11" t="s">
        <v>65</v>
      </c>
      <c r="C37" s="11" t="s">
        <v>130</v>
      </c>
      <c r="D37" s="31" t="n">
        <v>2</v>
      </c>
      <c r="E37" s="11" t="s">
        <v>91</v>
      </c>
      <c r="F37" s="26" t="n">
        <v>81500</v>
      </c>
      <c r="G37" s="24" t="n">
        <v>44896</v>
      </c>
      <c r="H37" s="24"/>
      <c r="I37" s="31"/>
      <c r="J37" s="11"/>
    </row>
    <row r="38" customFormat="false" ht="15" hidden="false" customHeight="true" outlineLevel="0" collapsed="false">
      <c r="A38" s="11" t="s">
        <v>133</v>
      </c>
      <c r="B38" s="11" t="s">
        <v>65</v>
      </c>
      <c r="C38" s="11" t="s">
        <v>130</v>
      </c>
      <c r="D38" s="31" t="n">
        <v>2</v>
      </c>
      <c r="E38" s="11" t="s">
        <v>91</v>
      </c>
      <c r="F38" s="26" t="n">
        <v>80000</v>
      </c>
      <c r="G38" s="24" t="n">
        <v>45778</v>
      </c>
      <c r="H38" s="24"/>
      <c r="I38" s="31"/>
      <c r="J38" s="11"/>
    </row>
    <row r="39" customFormat="false" ht="15" hidden="false" customHeight="true" outlineLevel="0" collapsed="false">
      <c r="A39" s="11" t="s">
        <v>134</v>
      </c>
      <c r="B39" s="11" t="s">
        <v>65</v>
      </c>
      <c r="C39" s="11" t="s">
        <v>135</v>
      </c>
      <c r="D39" s="31" t="n">
        <v>3</v>
      </c>
      <c r="E39" s="11" t="s">
        <v>91</v>
      </c>
      <c r="F39" s="26" t="n">
        <v>112000</v>
      </c>
      <c r="G39" s="24" t="n">
        <v>44105</v>
      </c>
      <c r="H39" s="24"/>
      <c r="I39" s="31"/>
      <c r="J39" s="11"/>
    </row>
    <row r="40" customFormat="false" ht="15" hidden="false" customHeight="true" outlineLevel="0" collapsed="false">
      <c r="A40" s="11" t="s">
        <v>136</v>
      </c>
      <c r="B40" s="11" t="s">
        <v>65</v>
      </c>
      <c r="C40" s="11" t="s">
        <v>135</v>
      </c>
      <c r="D40" s="31" t="n">
        <v>3</v>
      </c>
      <c r="E40" s="11" t="s">
        <v>91</v>
      </c>
      <c r="F40" s="26" t="n">
        <v>109000</v>
      </c>
      <c r="G40" s="24" t="n">
        <v>44986</v>
      </c>
      <c r="H40" s="24"/>
      <c r="I40" s="31"/>
      <c r="J40" s="11"/>
    </row>
    <row r="41" customFormat="false" ht="15" hidden="false" customHeight="true" outlineLevel="0" collapsed="false">
      <c r="A41" s="11" t="s">
        <v>137</v>
      </c>
      <c r="B41" s="11" t="s">
        <v>65</v>
      </c>
      <c r="C41" s="11" t="s">
        <v>138</v>
      </c>
      <c r="D41" s="31" t="n">
        <v>4</v>
      </c>
      <c r="E41" s="11" t="s">
        <v>91</v>
      </c>
      <c r="F41" s="26" t="n">
        <v>143000</v>
      </c>
      <c r="G41" s="24" t="n">
        <v>46235</v>
      </c>
      <c r="H41" s="24"/>
      <c r="I41" s="31"/>
      <c r="J41" s="11"/>
    </row>
    <row r="42" customFormat="false" ht="15" hidden="false" customHeight="true" outlineLevel="0" collapsed="false">
      <c r="A42" s="11" t="s">
        <v>139</v>
      </c>
      <c r="B42" s="11" t="s">
        <v>65</v>
      </c>
      <c r="C42" s="11" t="s">
        <v>140</v>
      </c>
      <c r="D42" s="31" t="n">
        <v>5</v>
      </c>
      <c r="E42" s="11" t="s">
        <v>91</v>
      </c>
      <c r="F42" s="26" t="n">
        <v>183500</v>
      </c>
      <c r="G42" s="24" t="n">
        <v>44197</v>
      </c>
      <c r="H42" s="24"/>
      <c r="I42" s="31"/>
      <c r="J42" s="11"/>
    </row>
    <row r="43" customFormat="false" ht="15" hidden="false" customHeight="true" outlineLevel="0" collapsed="false">
      <c r="A43" s="11" t="s">
        <v>141</v>
      </c>
      <c r="B43" s="11" t="s">
        <v>67</v>
      </c>
      <c r="C43" s="11" t="s">
        <v>142</v>
      </c>
      <c r="D43" s="31" t="n">
        <v>1</v>
      </c>
      <c r="E43" s="11" t="s">
        <v>91</v>
      </c>
      <c r="F43" s="26" t="n">
        <v>67000</v>
      </c>
      <c r="G43" s="24" t="n">
        <v>45078</v>
      </c>
      <c r="H43" s="24"/>
      <c r="I43" s="31"/>
      <c r="J43" s="11"/>
    </row>
    <row r="44" customFormat="false" ht="15" hidden="false" customHeight="true" outlineLevel="0" collapsed="false">
      <c r="A44" s="11" t="s">
        <v>143</v>
      </c>
      <c r="B44" s="11" t="s">
        <v>67</v>
      </c>
      <c r="C44" s="11" t="s">
        <v>142</v>
      </c>
      <c r="D44" s="31" t="n">
        <v>1</v>
      </c>
      <c r="E44" s="11" t="s">
        <v>91</v>
      </c>
      <c r="F44" s="26" t="n">
        <v>71000</v>
      </c>
      <c r="G44" s="24" t="n">
        <v>46327</v>
      </c>
      <c r="H44" s="24"/>
      <c r="I44" s="31"/>
      <c r="J44" s="11"/>
    </row>
    <row r="45" customFormat="false" ht="15" hidden="false" customHeight="true" outlineLevel="0" collapsed="false">
      <c r="A45" s="11" t="s">
        <v>144</v>
      </c>
      <c r="B45" s="11" t="s">
        <v>67</v>
      </c>
      <c r="C45" s="11" t="s">
        <v>145</v>
      </c>
      <c r="D45" s="31" t="n">
        <v>2</v>
      </c>
      <c r="E45" s="11" t="s">
        <v>91</v>
      </c>
      <c r="F45" s="26" t="n">
        <v>86500</v>
      </c>
      <c r="G45" s="24" t="n">
        <v>44287</v>
      </c>
      <c r="H45" s="24"/>
      <c r="I45" s="31"/>
      <c r="J45" s="11"/>
    </row>
    <row r="46" customFormat="false" ht="15" hidden="false" customHeight="true" outlineLevel="0" collapsed="false">
      <c r="A46" s="11" t="s">
        <v>146</v>
      </c>
      <c r="B46" s="11" t="s">
        <v>67</v>
      </c>
      <c r="C46" s="11" t="s">
        <v>145</v>
      </c>
      <c r="D46" s="31" t="n">
        <v>2</v>
      </c>
      <c r="E46" s="11" t="s">
        <v>91</v>
      </c>
      <c r="F46" s="26" t="n">
        <v>91000</v>
      </c>
      <c r="G46" s="24" t="n">
        <v>45536</v>
      </c>
      <c r="H46" s="24"/>
      <c r="I46" s="31"/>
      <c r="J46" s="11"/>
    </row>
    <row r="47" customFormat="false" ht="15" hidden="false" customHeight="true" outlineLevel="0" collapsed="false">
      <c r="A47" s="11" t="s">
        <v>147</v>
      </c>
      <c r="B47" s="11" t="s">
        <v>67</v>
      </c>
      <c r="C47" s="11" t="s">
        <v>148</v>
      </c>
      <c r="D47" s="31" t="n">
        <v>4</v>
      </c>
      <c r="E47" s="11" t="s">
        <v>91</v>
      </c>
      <c r="F47" s="26" t="n">
        <v>155000</v>
      </c>
      <c r="G47" s="24" t="n">
        <v>43497</v>
      </c>
      <c r="H47" s="24"/>
      <c r="I47" s="31"/>
      <c r="J47" s="11"/>
    </row>
    <row r="48" customFormat="false" ht="15" hidden="false" customHeight="true" outlineLevel="0" collapsed="false">
      <c r="A48" s="11" t="s">
        <v>149</v>
      </c>
      <c r="B48" s="11" t="s">
        <v>67</v>
      </c>
      <c r="C48" s="11" t="s">
        <v>150</v>
      </c>
      <c r="D48" s="31" t="n">
        <v>5</v>
      </c>
      <c r="E48" s="11" t="s">
        <v>91</v>
      </c>
      <c r="F48" s="26" t="n">
        <v>215500</v>
      </c>
      <c r="G48" s="24" t="n">
        <v>44743</v>
      </c>
      <c r="H48" s="24"/>
      <c r="I48" s="31"/>
      <c r="J48" s="11"/>
    </row>
    <row r="49" customFormat="false" ht="15" hidden="false" customHeight="true" outlineLevel="0" collapsed="false">
      <c r="A49" s="11" t="s">
        <v>151</v>
      </c>
      <c r="B49" s="11" t="s">
        <v>69</v>
      </c>
      <c r="C49" s="11" t="s">
        <v>152</v>
      </c>
      <c r="D49" s="31" t="n">
        <v>1</v>
      </c>
      <c r="E49" s="11" t="s">
        <v>91</v>
      </c>
      <c r="F49" s="26" t="n">
        <v>62000</v>
      </c>
      <c r="G49" s="24" t="n">
        <v>46174</v>
      </c>
      <c r="H49" s="24"/>
      <c r="I49" s="31"/>
      <c r="J49" s="11"/>
    </row>
    <row r="50" customFormat="false" ht="15" hidden="false" customHeight="true" outlineLevel="0" collapsed="false">
      <c r="A50" s="11" t="s">
        <v>153</v>
      </c>
      <c r="B50" s="11" t="s">
        <v>69</v>
      </c>
      <c r="C50" s="11" t="s">
        <v>152</v>
      </c>
      <c r="D50" s="31" t="n">
        <v>1</v>
      </c>
      <c r="E50" s="11" t="s">
        <v>91</v>
      </c>
      <c r="F50" s="26" t="n">
        <v>60500</v>
      </c>
      <c r="G50" s="24" t="n">
        <v>44501</v>
      </c>
      <c r="H50" s="24" t="n">
        <v>46630</v>
      </c>
      <c r="I50" s="31"/>
      <c r="J50" s="11" t="s">
        <v>104</v>
      </c>
    </row>
    <row r="51" customFormat="false" ht="15" hidden="false" customHeight="true" outlineLevel="0" collapsed="false">
      <c r="A51" s="11" t="s">
        <v>154</v>
      </c>
      <c r="B51" s="11" t="s">
        <v>69</v>
      </c>
      <c r="C51" s="11" t="s">
        <v>152</v>
      </c>
      <c r="D51" s="31" t="n">
        <v>1</v>
      </c>
      <c r="E51" s="11" t="s">
        <v>91</v>
      </c>
      <c r="F51" s="26" t="n">
        <v>63000</v>
      </c>
      <c r="G51" s="24" t="n">
        <v>45383</v>
      </c>
      <c r="H51" s="24"/>
      <c r="I51" s="31"/>
      <c r="J51" s="11"/>
    </row>
    <row r="52" customFormat="false" ht="15" hidden="false" customHeight="true" outlineLevel="0" collapsed="false">
      <c r="A52" s="11" t="s">
        <v>155</v>
      </c>
      <c r="B52" s="11" t="s">
        <v>69</v>
      </c>
      <c r="C52" s="11" t="s">
        <v>152</v>
      </c>
      <c r="D52" s="31" t="n">
        <v>1</v>
      </c>
      <c r="E52" s="11" t="s">
        <v>91</v>
      </c>
      <c r="F52" s="26" t="n">
        <v>61000</v>
      </c>
      <c r="G52" s="24" t="n">
        <v>43709</v>
      </c>
      <c r="H52" s="24"/>
      <c r="I52" s="31"/>
      <c r="J52" s="11"/>
    </row>
    <row r="53" customFormat="false" ht="15" hidden="false" customHeight="true" outlineLevel="0" collapsed="false">
      <c r="A53" s="11" t="s">
        <v>156</v>
      </c>
      <c r="B53" s="11" t="s">
        <v>69</v>
      </c>
      <c r="C53" s="11" t="s">
        <v>157</v>
      </c>
      <c r="D53" s="31" t="n">
        <v>2</v>
      </c>
      <c r="E53" s="11" t="s">
        <v>91</v>
      </c>
      <c r="F53" s="26" t="n">
        <v>82500</v>
      </c>
      <c r="G53" s="24" t="n">
        <v>44593</v>
      </c>
      <c r="H53" s="24"/>
      <c r="I53" s="31"/>
      <c r="J53" s="11"/>
    </row>
    <row r="54" customFormat="false" ht="15" hidden="false" customHeight="true" outlineLevel="0" collapsed="false">
      <c r="A54" s="11" t="s">
        <v>158</v>
      </c>
      <c r="B54" s="11" t="s">
        <v>69</v>
      </c>
      <c r="C54" s="11" t="s">
        <v>157</v>
      </c>
      <c r="D54" s="31" t="n">
        <v>2</v>
      </c>
      <c r="E54" s="11" t="s">
        <v>91</v>
      </c>
      <c r="F54" s="26" t="n">
        <v>79000</v>
      </c>
      <c r="G54" s="24" t="n">
        <v>45839</v>
      </c>
      <c r="H54" s="24"/>
      <c r="I54" s="31"/>
      <c r="J54" s="11"/>
    </row>
    <row r="55" customFormat="false" ht="15" hidden="false" customHeight="true" outlineLevel="0" collapsed="false">
      <c r="A55" s="11" t="s">
        <v>159</v>
      </c>
      <c r="B55" s="11" t="s">
        <v>69</v>
      </c>
      <c r="C55" s="11" t="s">
        <v>157</v>
      </c>
      <c r="D55" s="31" t="n">
        <v>2</v>
      </c>
      <c r="E55" s="11" t="s">
        <v>91</v>
      </c>
      <c r="F55" s="26" t="n">
        <v>84000</v>
      </c>
      <c r="G55" s="24" t="n">
        <v>44166</v>
      </c>
      <c r="H55" s="24"/>
      <c r="I55" s="31"/>
      <c r="J55" s="11"/>
    </row>
    <row r="56" customFormat="false" ht="15" hidden="false" customHeight="true" outlineLevel="0" collapsed="false">
      <c r="A56" s="11" t="s">
        <v>160</v>
      </c>
      <c r="B56" s="11" t="s">
        <v>69</v>
      </c>
      <c r="C56" s="11" t="s">
        <v>161</v>
      </c>
      <c r="D56" s="31" t="n">
        <v>3</v>
      </c>
      <c r="E56" s="11" t="s">
        <v>91</v>
      </c>
      <c r="F56" s="26" t="n">
        <v>104500</v>
      </c>
      <c r="G56" s="24" t="n">
        <v>45047</v>
      </c>
      <c r="H56" s="24"/>
      <c r="I56" s="31"/>
      <c r="J56" s="11"/>
    </row>
    <row r="57" customFormat="false" ht="15" hidden="false" customHeight="true" outlineLevel="0" collapsed="false">
      <c r="A57" s="11" t="s">
        <v>162</v>
      </c>
      <c r="B57" s="11" t="s">
        <v>69</v>
      </c>
      <c r="C57" s="11" t="s">
        <v>163</v>
      </c>
      <c r="D57" s="31" t="n">
        <v>4</v>
      </c>
      <c r="E57" s="11" t="s">
        <v>91</v>
      </c>
      <c r="F57" s="26" t="n">
        <v>141500</v>
      </c>
      <c r="G57" s="24" t="n">
        <v>46296</v>
      </c>
      <c r="H57" s="24"/>
      <c r="I57" s="31"/>
      <c r="J57" s="11"/>
    </row>
    <row r="58" customFormat="false" ht="15" hidden="false" customHeight="true" outlineLevel="0" collapsed="false">
      <c r="A58" s="11" t="s">
        <v>164</v>
      </c>
      <c r="B58" s="11" t="s">
        <v>71</v>
      </c>
      <c r="C58" s="11" t="s">
        <v>165</v>
      </c>
      <c r="D58" s="31" t="n">
        <v>1</v>
      </c>
      <c r="E58" s="11" t="s">
        <v>91</v>
      </c>
      <c r="F58" s="26" t="n">
        <v>68500</v>
      </c>
      <c r="G58" s="24" t="n">
        <v>44348</v>
      </c>
      <c r="H58" s="24"/>
      <c r="I58" s="31"/>
      <c r="J58" s="11"/>
    </row>
    <row r="59" customFormat="false" ht="15" hidden="false" customHeight="true" outlineLevel="0" collapsed="false">
      <c r="A59" s="11" t="s">
        <v>166</v>
      </c>
      <c r="B59" s="11" t="s">
        <v>71</v>
      </c>
      <c r="C59" s="11" t="s">
        <v>165</v>
      </c>
      <c r="D59" s="31" t="n">
        <v>1</v>
      </c>
      <c r="E59" s="11" t="s">
        <v>91</v>
      </c>
      <c r="F59" s="26" t="n">
        <v>70000</v>
      </c>
      <c r="G59" s="24" t="n">
        <v>45597</v>
      </c>
      <c r="H59" s="24"/>
      <c r="I59" s="31"/>
      <c r="J59" s="11"/>
    </row>
    <row r="60" customFormat="false" ht="15" hidden="false" customHeight="true" outlineLevel="0" collapsed="false">
      <c r="A60" s="11" t="s">
        <v>167</v>
      </c>
      <c r="B60" s="11" t="s">
        <v>71</v>
      </c>
      <c r="C60" s="11" t="s">
        <v>168</v>
      </c>
      <c r="D60" s="31" t="n">
        <v>2</v>
      </c>
      <c r="E60" s="11" t="s">
        <v>91</v>
      </c>
      <c r="F60" s="26" t="n">
        <v>88500</v>
      </c>
      <c r="G60" s="24" t="n">
        <v>43556</v>
      </c>
      <c r="H60" s="24"/>
      <c r="I60" s="31"/>
      <c r="J60" s="11"/>
    </row>
    <row r="61" customFormat="false" ht="15" hidden="false" customHeight="true" outlineLevel="0" collapsed="false">
      <c r="A61" s="11" t="s">
        <v>169</v>
      </c>
      <c r="B61" s="11" t="s">
        <v>71</v>
      </c>
      <c r="C61" s="11" t="s">
        <v>168</v>
      </c>
      <c r="D61" s="31" t="n">
        <v>2</v>
      </c>
      <c r="E61" s="11" t="s">
        <v>91</v>
      </c>
      <c r="F61" s="26" t="n">
        <v>94000</v>
      </c>
      <c r="G61" s="24" t="n">
        <v>44805</v>
      </c>
      <c r="H61" s="24"/>
      <c r="I61" s="31"/>
      <c r="J61" s="11"/>
    </row>
    <row r="62" customFormat="false" ht="15" hidden="false" customHeight="true" outlineLevel="0" collapsed="false">
      <c r="A62" s="11" t="s">
        <v>170</v>
      </c>
      <c r="B62" s="11" t="s">
        <v>71</v>
      </c>
      <c r="C62" s="11" t="s">
        <v>171</v>
      </c>
      <c r="D62" s="31" t="n">
        <v>3</v>
      </c>
      <c r="E62" s="11" t="s">
        <v>91</v>
      </c>
      <c r="F62" s="26" t="n">
        <v>116500</v>
      </c>
      <c r="G62" s="24" t="n">
        <v>45689</v>
      </c>
      <c r="H62" s="24"/>
      <c r="I62" s="31"/>
      <c r="J62" s="11"/>
    </row>
    <row r="63" customFormat="false" ht="15" hidden="false" customHeight="true" outlineLevel="0" collapsed="false">
      <c r="A63" s="11" t="s">
        <v>172</v>
      </c>
      <c r="B63" s="11" t="s">
        <v>71</v>
      </c>
      <c r="C63" s="11" t="s">
        <v>171</v>
      </c>
      <c r="D63" s="31" t="n">
        <v>3</v>
      </c>
      <c r="E63" s="11" t="s">
        <v>91</v>
      </c>
      <c r="F63" s="26" t="n">
        <v>123000</v>
      </c>
      <c r="G63" s="24" t="n">
        <v>44013</v>
      </c>
      <c r="H63" s="24"/>
      <c r="I63" s="31"/>
      <c r="J63" s="11"/>
    </row>
    <row r="64" customFormat="false" ht="15" hidden="false" customHeight="true" outlineLevel="0" collapsed="false">
      <c r="A64" s="11" t="s">
        <v>173</v>
      </c>
      <c r="B64" s="11" t="s">
        <v>71</v>
      </c>
      <c r="C64" s="11" t="s">
        <v>174</v>
      </c>
      <c r="D64" s="31" t="n">
        <v>4</v>
      </c>
      <c r="E64" s="11" t="s">
        <v>91</v>
      </c>
      <c r="F64" s="26" t="n">
        <v>155000</v>
      </c>
      <c r="G64" s="24" t="n">
        <v>45261</v>
      </c>
      <c r="H64" s="24"/>
      <c r="I64" s="31"/>
      <c r="J64" s="11"/>
    </row>
    <row r="65" customFormat="false" ht="15" hidden="false" customHeight="true" outlineLevel="0" collapsed="false">
      <c r="A65" s="11" t="s">
        <v>175</v>
      </c>
      <c r="B65" s="11" t="s">
        <v>71</v>
      </c>
      <c r="C65" s="11" t="s">
        <v>176</v>
      </c>
      <c r="D65" s="31" t="n">
        <v>5</v>
      </c>
      <c r="E65" s="11" t="s">
        <v>91</v>
      </c>
      <c r="F65" s="26" t="n">
        <v>215500</v>
      </c>
      <c r="G65" s="24" t="n">
        <v>46143</v>
      </c>
      <c r="H65" s="24"/>
      <c r="I65" s="31"/>
      <c r="J65" s="11"/>
    </row>
    <row r="66" customFormat="false" ht="15" hidden="false" customHeight="true" outlineLevel="0" collapsed="false">
      <c r="A66" s="11" t="s">
        <v>177</v>
      </c>
      <c r="B66" s="11" t="s">
        <v>61</v>
      </c>
      <c r="C66" s="11" t="s">
        <v>96</v>
      </c>
      <c r="D66" s="31" t="n">
        <v>2</v>
      </c>
      <c r="E66" s="11" t="s">
        <v>178</v>
      </c>
      <c r="F66" s="26" t="n">
        <v>108000</v>
      </c>
      <c r="G66" s="24" t="n">
        <v>46419</v>
      </c>
      <c r="H66" s="24"/>
      <c r="I66" s="31" t="n">
        <v>1</v>
      </c>
      <c r="J66" s="11" t="s">
        <v>179</v>
      </c>
    </row>
    <row r="67" customFormat="false" ht="15" hidden="false" customHeight="true" outlineLevel="0" collapsed="false">
      <c r="A67" s="11" t="s">
        <v>180</v>
      </c>
      <c r="B67" s="11" t="s">
        <v>61</v>
      </c>
      <c r="C67" s="11" t="s">
        <v>103</v>
      </c>
      <c r="D67" s="31" t="n">
        <v>3</v>
      </c>
      <c r="E67" s="11" t="s">
        <v>178</v>
      </c>
      <c r="F67" s="26" t="n">
        <v>151500</v>
      </c>
      <c r="G67" s="24" t="n">
        <v>46508</v>
      </c>
      <c r="H67" s="24"/>
      <c r="I67" s="31" t="n">
        <v>1</v>
      </c>
      <c r="J67" s="11" t="s">
        <v>181</v>
      </c>
    </row>
    <row r="68" customFormat="false" ht="15" hidden="false" customHeight="true" outlineLevel="0" collapsed="false">
      <c r="A68" s="11" t="s">
        <v>182</v>
      </c>
      <c r="B68" s="11" t="s">
        <v>61</v>
      </c>
      <c r="C68" s="11" t="s">
        <v>96</v>
      </c>
      <c r="D68" s="31" t="n">
        <v>2</v>
      </c>
      <c r="E68" s="11" t="s">
        <v>178</v>
      </c>
      <c r="F68" s="26" t="n">
        <v>109000</v>
      </c>
      <c r="G68" s="24" t="n">
        <v>46478</v>
      </c>
      <c r="H68" s="24"/>
      <c r="I68" s="31" t="n">
        <v>2</v>
      </c>
      <c r="J68" s="11" t="s">
        <v>183</v>
      </c>
    </row>
    <row r="69" customFormat="false" ht="15" hidden="false" customHeight="true" outlineLevel="0" collapsed="false">
      <c r="A69" s="11" t="s">
        <v>184</v>
      </c>
      <c r="B69" s="11" t="s">
        <v>61</v>
      </c>
      <c r="C69" s="11" t="s">
        <v>103</v>
      </c>
      <c r="D69" s="31" t="n">
        <v>3</v>
      </c>
      <c r="E69" s="11" t="s">
        <v>178</v>
      </c>
      <c r="F69" s="26" t="n">
        <v>150000</v>
      </c>
      <c r="G69" s="24" t="n">
        <v>46539</v>
      </c>
      <c r="H69" s="24"/>
      <c r="I69" s="31" t="n">
        <v>2</v>
      </c>
      <c r="J69" s="11" t="s">
        <v>185</v>
      </c>
    </row>
    <row r="70" customFormat="false" ht="15" hidden="false" customHeight="true" outlineLevel="0" collapsed="false">
      <c r="A70" s="11" t="s">
        <v>186</v>
      </c>
      <c r="B70" s="11" t="s">
        <v>61</v>
      </c>
      <c r="C70" s="11" t="s">
        <v>111</v>
      </c>
      <c r="D70" s="31" t="n">
        <v>4</v>
      </c>
      <c r="E70" s="11" t="s">
        <v>178</v>
      </c>
      <c r="F70" s="26" t="n">
        <v>186000</v>
      </c>
      <c r="G70" s="24" t="n">
        <v>46569</v>
      </c>
      <c r="H70" s="24"/>
      <c r="I70" s="31" t="n">
        <v>2</v>
      </c>
      <c r="J70" s="11" t="s">
        <v>187</v>
      </c>
    </row>
    <row r="71" customFormat="false" ht="15" hidden="false" customHeight="true" outlineLevel="0" collapsed="false">
      <c r="A71" s="11" t="s">
        <v>188</v>
      </c>
      <c r="B71" s="11" t="s">
        <v>61</v>
      </c>
      <c r="C71" s="11" t="s">
        <v>90</v>
      </c>
      <c r="D71" s="31" t="n">
        <v>1</v>
      </c>
      <c r="E71" s="11" t="s">
        <v>178</v>
      </c>
      <c r="F71" s="26" t="n">
        <v>86000</v>
      </c>
      <c r="G71" s="24" t="n">
        <v>46631</v>
      </c>
      <c r="H71" s="24"/>
      <c r="I71" s="31" t="n">
        <v>3</v>
      </c>
      <c r="J71" s="11" t="s">
        <v>189</v>
      </c>
    </row>
    <row r="72" customFormat="false" ht="15" hidden="false" customHeight="true" outlineLevel="0" collapsed="false">
      <c r="A72" s="11" t="s">
        <v>190</v>
      </c>
      <c r="B72" s="11" t="s">
        <v>63</v>
      </c>
      <c r="C72" s="11" t="s">
        <v>120</v>
      </c>
      <c r="D72" s="31" t="n">
        <v>3</v>
      </c>
      <c r="E72" s="11" t="s">
        <v>178</v>
      </c>
      <c r="F72" s="26" t="n">
        <v>139500</v>
      </c>
      <c r="G72" s="24" t="n">
        <v>46447</v>
      </c>
      <c r="H72" s="24"/>
      <c r="I72" s="31" t="n">
        <v>2</v>
      </c>
      <c r="J72" s="11" t="s">
        <v>191</v>
      </c>
    </row>
    <row r="73" customFormat="false" ht="15" hidden="false" customHeight="true" outlineLevel="0" collapsed="false">
      <c r="A73" s="11" t="s">
        <v>192</v>
      </c>
      <c r="B73" s="11" t="s">
        <v>65</v>
      </c>
      <c r="C73" s="11" t="s">
        <v>130</v>
      </c>
      <c r="D73" s="31" t="n">
        <v>2</v>
      </c>
      <c r="E73" s="11" t="s">
        <v>178</v>
      </c>
      <c r="F73" s="26" t="n">
        <v>80000</v>
      </c>
      <c r="G73" s="24" t="n">
        <v>46447</v>
      </c>
      <c r="H73" s="24"/>
      <c r="I73" s="31" t="n">
        <v>1</v>
      </c>
      <c r="J73" s="11" t="s">
        <v>193</v>
      </c>
    </row>
    <row r="74" customFormat="false" ht="15" hidden="false" customHeight="true" outlineLevel="0" collapsed="false">
      <c r="A74" s="11" t="s">
        <v>194</v>
      </c>
      <c r="B74" s="11" t="s">
        <v>65</v>
      </c>
      <c r="C74" s="11" t="s">
        <v>130</v>
      </c>
      <c r="D74" s="31" t="n">
        <v>2</v>
      </c>
      <c r="E74" s="11" t="s">
        <v>178</v>
      </c>
      <c r="F74" s="26" t="n">
        <v>83000</v>
      </c>
      <c r="G74" s="24" t="n">
        <v>46569</v>
      </c>
      <c r="H74" s="24"/>
      <c r="I74" s="31" t="n">
        <v>1</v>
      </c>
      <c r="J74" s="11" t="s">
        <v>195</v>
      </c>
    </row>
    <row r="75" customFormat="false" ht="15" hidden="false" customHeight="true" outlineLevel="0" collapsed="false">
      <c r="A75" s="11" t="s">
        <v>196</v>
      </c>
      <c r="B75" s="11" t="s">
        <v>65</v>
      </c>
      <c r="C75" s="11" t="s">
        <v>130</v>
      </c>
      <c r="D75" s="31" t="n">
        <v>2</v>
      </c>
      <c r="E75" s="11" t="s">
        <v>178</v>
      </c>
      <c r="F75" s="26" t="n">
        <v>81000</v>
      </c>
      <c r="G75" s="24" t="n">
        <v>46539</v>
      </c>
      <c r="H75" s="24"/>
      <c r="I75" s="31" t="n">
        <v>2</v>
      </c>
      <c r="J75" s="11" t="s">
        <v>197</v>
      </c>
    </row>
    <row r="76" customFormat="false" ht="15" hidden="false" customHeight="true" outlineLevel="0" collapsed="false">
      <c r="A76" s="11" t="s">
        <v>198</v>
      </c>
      <c r="B76" s="11" t="s">
        <v>65</v>
      </c>
      <c r="C76" s="11" t="s">
        <v>125</v>
      </c>
      <c r="D76" s="31" t="n">
        <v>1</v>
      </c>
      <c r="E76" s="11" t="s">
        <v>178</v>
      </c>
      <c r="F76" s="26" t="n">
        <v>62500</v>
      </c>
      <c r="G76" s="24" t="n">
        <v>46631</v>
      </c>
      <c r="H76" s="24"/>
      <c r="I76" s="31" t="n">
        <v>3</v>
      </c>
      <c r="J76" s="11" t="s">
        <v>199</v>
      </c>
    </row>
    <row r="77" customFormat="false" ht="15" hidden="false" customHeight="true" outlineLevel="0" collapsed="false">
      <c r="A77" s="11" t="s">
        <v>200</v>
      </c>
      <c r="B77" s="11" t="s">
        <v>67</v>
      </c>
      <c r="C77" s="11" t="s">
        <v>145</v>
      </c>
      <c r="D77" s="31" t="n">
        <v>2</v>
      </c>
      <c r="E77" s="11" t="s">
        <v>178</v>
      </c>
      <c r="F77" s="26" t="n">
        <v>89500</v>
      </c>
      <c r="G77" s="24" t="n">
        <v>46478</v>
      </c>
      <c r="H77" s="24"/>
      <c r="I77" s="31" t="n">
        <v>2</v>
      </c>
      <c r="J77" s="11" t="s">
        <v>201</v>
      </c>
    </row>
    <row r="78" customFormat="false" ht="15" hidden="false" customHeight="true" outlineLevel="0" collapsed="false">
      <c r="A78" s="11" t="s">
        <v>202</v>
      </c>
      <c r="B78" s="11" t="s">
        <v>67</v>
      </c>
      <c r="C78" s="11" t="s">
        <v>142</v>
      </c>
      <c r="D78" s="31" t="n">
        <v>1</v>
      </c>
      <c r="E78" s="11" t="s">
        <v>178</v>
      </c>
      <c r="F78" s="26" t="n">
        <v>70500</v>
      </c>
      <c r="G78" s="24" t="n">
        <v>46600</v>
      </c>
      <c r="H78" s="24"/>
      <c r="I78" s="31" t="n">
        <v>3</v>
      </c>
      <c r="J78" s="11" t="s">
        <v>203</v>
      </c>
    </row>
    <row r="79" customFormat="false" ht="15" hidden="false" customHeight="true" outlineLevel="0" collapsed="false">
      <c r="A79" s="11" t="s">
        <v>204</v>
      </c>
      <c r="B79" s="11" t="s">
        <v>69</v>
      </c>
      <c r="C79" s="11" t="s">
        <v>157</v>
      </c>
      <c r="D79" s="31" t="n">
        <v>2</v>
      </c>
      <c r="E79" s="11" t="s">
        <v>178</v>
      </c>
      <c r="F79" s="26" t="n">
        <v>80000</v>
      </c>
      <c r="G79" s="24" t="n">
        <v>46508</v>
      </c>
      <c r="H79" s="24"/>
      <c r="I79" s="31" t="n">
        <v>2</v>
      </c>
      <c r="J79" s="11" t="s">
        <v>205</v>
      </c>
    </row>
    <row r="80" customFormat="false" ht="15" hidden="false" customHeight="true" outlineLevel="0" collapsed="false">
      <c r="A80" s="11" t="s">
        <v>206</v>
      </c>
      <c r="B80" s="11" t="s">
        <v>69</v>
      </c>
      <c r="C80" s="11" t="s">
        <v>152</v>
      </c>
      <c r="D80" s="31" t="n">
        <v>1</v>
      </c>
      <c r="E80" s="11" t="s">
        <v>178</v>
      </c>
      <c r="F80" s="26" t="n">
        <v>63000</v>
      </c>
      <c r="G80" s="24" t="n">
        <v>46631</v>
      </c>
      <c r="H80" s="24"/>
      <c r="I80" s="31" t="n">
        <v>1</v>
      </c>
      <c r="J80" s="11" t="s">
        <v>207</v>
      </c>
    </row>
    <row r="81" customFormat="false" ht="15" hidden="false" customHeight="true" outlineLevel="0" collapsed="false">
      <c r="A81" s="11" t="s">
        <v>208</v>
      </c>
      <c r="B81" s="11" t="s">
        <v>69</v>
      </c>
      <c r="C81" s="11" t="s">
        <v>152</v>
      </c>
      <c r="D81" s="31" t="n">
        <v>1</v>
      </c>
      <c r="E81" s="11" t="s">
        <v>178</v>
      </c>
      <c r="F81" s="26" t="n">
        <v>61000</v>
      </c>
      <c r="G81" s="24" t="n">
        <v>46661</v>
      </c>
      <c r="H81" s="24"/>
      <c r="I81" s="31" t="n">
        <v>3</v>
      </c>
      <c r="J81" s="11" t="s">
        <v>209</v>
      </c>
    </row>
    <row r="82" customFormat="false" ht="15" hidden="false" customHeight="true" outlineLevel="0" collapsed="false">
      <c r="A82" s="11" t="s">
        <v>210</v>
      </c>
      <c r="B82" s="11" t="s">
        <v>71</v>
      </c>
      <c r="C82" s="11" t="s">
        <v>171</v>
      </c>
      <c r="D82" s="31" t="n">
        <v>3</v>
      </c>
      <c r="E82" s="11" t="s">
        <v>178</v>
      </c>
      <c r="F82" s="26" t="n">
        <v>120500</v>
      </c>
      <c r="G82" s="24" t="n">
        <v>46419</v>
      </c>
      <c r="H82" s="24"/>
      <c r="I82" s="31" t="n">
        <v>1</v>
      </c>
      <c r="J82" s="11" t="s">
        <v>211</v>
      </c>
    </row>
    <row r="83" customFormat="false" ht="15" hidden="false" customHeight="true" outlineLevel="0" collapsed="false">
      <c r="A83" s="11" t="s">
        <v>212</v>
      </c>
      <c r="B83" s="11" t="s">
        <v>71</v>
      </c>
      <c r="C83" s="11" t="s">
        <v>168</v>
      </c>
      <c r="D83" s="31" t="n">
        <v>2</v>
      </c>
      <c r="E83" s="11" t="s">
        <v>178</v>
      </c>
      <c r="F83" s="26" t="n">
        <v>93000</v>
      </c>
      <c r="G83" s="24" t="n">
        <v>46539</v>
      </c>
      <c r="H83" s="24"/>
      <c r="I83" s="31" t="n">
        <v>2</v>
      </c>
      <c r="J83" s="11" t="s">
        <v>213</v>
      </c>
    </row>
  </sheetData>
  <autoFilter ref="A5:J83"/>
  <dataValidations count="1">
    <dataValidation allowBlank="true" errorStyle="stop" operator="between" showDropDown="false" showErrorMessage="false" showInputMessage="false" sqref="I6:I8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1"/>
    <col collapsed="false" customWidth="true" hidden="false" outlineLevel="0" max="4" min="4" style="1" width="7"/>
    <col collapsed="false" customWidth="true" hidden="false" outlineLevel="0" max="7" min="5" style="1" width="13"/>
    <col collapsed="false" customWidth="true" hidden="false" outlineLevel="0" max="10" min="8" style="1" width="9"/>
    <col collapsed="false" customWidth="true" hidden="false" outlineLevel="0" max="22" min="11" style="1" width="8"/>
    <col collapsed="false" customWidth="true" hidden="false" outlineLevel="0" max="34" min="23" style="1" width="11"/>
  </cols>
  <sheetData>
    <row r="1" customFormat="false" ht="17.25" hidden="false" customHeight="true" outlineLevel="0" collapsed="false">
      <c r="A1" s="15" t="s">
        <v>214</v>
      </c>
    </row>
    <row r="2" customFormat="false" ht="15" hidden="false" customHeight="true" outlineLevel="0" collapsed="false">
      <c r="A2" s="3" t="s">
        <v>215</v>
      </c>
    </row>
    <row r="3" customFormat="false" ht="15" hidden="false" customHeight="true" outlineLevel="0" collapsed="false">
      <c r="K3" s="32" t="s">
        <v>216</v>
      </c>
      <c r="W3" s="32" t="s">
        <v>217</v>
      </c>
    </row>
    <row r="5" customFormat="false" ht="23.25" hidden="false" customHeight="true" outlineLevel="0" collapsed="false">
      <c r="A5" s="30" t="s">
        <v>81</v>
      </c>
      <c r="B5" s="30" t="s">
        <v>57</v>
      </c>
      <c r="C5" s="30" t="s">
        <v>83</v>
      </c>
      <c r="D5" s="30" t="s">
        <v>54</v>
      </c>
      <c r="E5" s="30" t="s">
        <v>218</v>
      </c>
      <c r="F5" s="30" t="s">
        <v>219</v>
      </c>
      <c r="G5" s="30" t="s">
        <v>86</v>
      </c>
      <c r="H5" s="30" t="s">
        <v>220</v>
      </c>
      <c r="I5" s="30" t="s">
        <v>55</v>
      </c>
      <c r="J5" s="30" t="s">
        <v>221</v>
      </c>
      <c r="K5" s="33" t="n">
        <f aca="false">DATE(YEAR(Assumptions!$B$14),MONTH(Assumptions!$B$14)+0,1)</f>
        <v>46388</v>
      </c>
      <c r="L5" s="33" t="n">
        <f aca="false">DATE(YEAR(Assumptions!$B$14),MONTH(Assumptions!$B$14)+1,1)</f>
        <v>46419</v>
      </c>
      <c r="M5" s="33" t="n">
        <f aca="false">DATE(YEAR(Assumptions!$B$14),MONTH(Assumptions!$B$14)+2,1)</f>
        <v>46447</v>
      </c>
      <c r="N5" s="33" t="n">
        <f aca="false">DATE(YEAR(Assumptions!$B$14),MONTH(Assumptions!$B$14)+3,1)</f>
        <v>46478</v>
      </c>
      <c r="O5" s="33" t="n">
        <f aca="false">DATE(YEAR(Assumptions!$B$14),MONTH(Assumptions!$B$14)+4,1)</f>
        <v>46508</v>
      </c>
      <c r="P5" s="33" t="n">
        <f aca="false">DATE(YEAR(Assumptions!$B$14),MONTH(Assumptions!$B$14)+5,1)</f>
        <v>46539</v>
      </c>
      <c r="Q5" s="33" t="n">
        <f aca="false">DATE(YEAR(Assumptions!$B$14),MONTH(Assumptions!$B$14)+6,1)</f>
        <v>46569</v>
      </c>
      <c r="R5" s="33" t="n">
        <f aca="false">DATE(YEAR(Assumptions!$B$14),MONTH(Assumptions!$B$14)+7,1)</f>
        <v>46600</v>
      </c>
      <c r="S5" s="33" t="n">
        <f aca="false">DATE(YEAR(Assumptions!$B$14),MONTH(Assumptions!$B$14)+8,1)</f>
        <v>46631</v>
      </c>
      <c r="T5" s="33" t="n">
        <f aca="false">DATE(YEAR(Assumptions!$B$14),MONTH(Assumptions!$B$14)+9,1)</f>
        <v>46661</v>
      </c>
      <c r="U5" s="33" t="n">
        <f aca="false">DATE(YEAR(Assumptions!$B$14),MONTH(Assumptions!$B$14)+10,1)</f>
        <v>46692</v>
      </c>
      <c r="V5" s="33" t="n">
        <f aca="false">DATE(YEAR(Assumptions!$B$14),MONTH(Assumptions!$B$14)+11,1)</f>
        <v>46722</v>
      </c>
      <c r="W5" s="33" t="n">
        <f aca="false">DATE(YEAR(Assumptions!$B$14),MONTH(Assumptions!$B$14)+0,1)</f>
        <v>46388</v>
      </c>
      <c r="X5" s="33" t="n">
        <f aca="false">DATE(YEAR(Assumptions!$B$14),MONTH(Assumptions!$B$14)+1,1)</f>
        <v>46419</v>
      </c>
      <c r="Y5" s="33" t="n">
        <f aca="false">DATE(YEAR(Assumptions!$B$14),MONTH(Assumptions!$B$14)+2,1)</f>
        <v>46447</v>
      </c>
      <c r="Z5" s="33" t="n">
        <f aca="false">DATE(YEAR(Assumptions!$B$14),MONTH(Assumptions!$B$14)+3,1)</f>
        <v>46478</v>
      </c>
      <c r="AA5" s="33" t="n">
        <f aca="false">DATE(YEAR(Assumptions!$B$14),MONTH(Assumptions!$B$14)+4,1)</f>
        <v>46508</v>
      </c>
      <c r="AB5" s="33" t="n">
        <f aca="false">DATE(YEAR(Assumptions!$B$14),MONTH(Assumptions!$B$14)+5,1)</f>
        <v>46539</v>
      </c>
      <c r="AC5" s="33" t="n">
        <f aca="false">DATE(YEAR(Assumptions!$B$14),MONTH(Assumptions!$B$14)+6,1)</f>
        <v>46569</v>
      </c>
      <c r="AD5" s="33" t="n">
        <f aca="false">DATE(YEAR(Assumptions!$B$14),MONTH(Assumptions!$B$14)+7,1)</f>
        <v>46600</v>
      </c>
      <c r="AE5" s="33" t="n">
        <f aca="false">DATE(YEAR(Assumptions!$B$14),MONTH(Assumptions!$B$14)+8,1)</f>
        <v>46631</v>
      </c>
      <c r="AF5" s="33" t="n">
        <f aca="false">DATE(YEAR(Assumptions!$B$14),MONTH(Assumptions!$B$14)+9,1)</f>
        <v>46661</v>
      </c>
      <c r="AG5" s="33" t="n">
        <f aca="false">DATE(YEAR(Assumptions!$B$14),MONTH(Assumptions!$B$14)+10,1)</f>
        <v>46692</v>
      </c>
      <c r="AH5" s="33" t="n">
        <f aca="false">DATE(YEAR(Assumptions!$B$14),MONTH(Assumptions!$B$14)+11,1)</f>
        <v>46722</v>
      </c>
    </row>
    <row r="6" customFormat="false" ht="15" hidden="false" customHeight="true" outlineLevel="0" collapsed="false">
      <c r="A6" s="13" t="str">
        <f aca="false">Roster!A6</f>
        <v>ENG-101</v>
      </c>
      <c r="B6" s="13" t="str">
        <f aca="false">Roster!B6</f>
        <v>Engineering</v>
      </c>
      <c r="C6" s="13" t="str">
        <f aca="false">Roster!E6</f>
        <v>Existing</v>
      </c>
      <c r="D6" s="34" t="n">
        <f aca="false">Roster!D6</f>
        <v>1</v>
      </c>
      <c r="E6" s="35" t="n">
        <f aca="false">Roster!F6</f>
        <v>84500</v>
      </c>
      <c r="F6" s="36" t="n">
        <f aca="false">IF(Roster!E6="Open role",MAX(Assumptions!$B$14,EDATE(Roster!G6,IF(Roster!I6=2,Assumptions!$F$10,0)-Assumptions!$F$9)),Roster!G6)</f>
        <v>44713</v>
      </c>
      <c r="G6" s="36" t="n">
        <f aca="false">IF(Roster!H6="",DATE(2099,12,31),Roster!H6)</f>
        <v>73050</v>
      </c>
      <c r="H6" s="37" t="n">
        <f aca="false">IF(Roster!E6="Existing",1,IF(Roster!I6&lt;=Assumptions!$F$8,1,0))</f>
        <v>1</v>
      </c>
      <c r="I6" s="38" t="n">
        <f aca="false">IF(B6="Sales",Assumptions!$B$23,VLOOKUP(D6,Assumptions!$A$27:$B$31,2,FALSE()))</f>
        <v>0.05</v>
      </c>
      <c r="J6" s="37" t="n">
        <f aca="false">IF(F6&lt;Assumptions!$B$14,1,0)</f>
        <v>1</v>
      </c>
      <c r="K6" s="39" t="n">
        <f aca="false">IF($H6=1,MAX(0,MIN($G6,EOMONTH(K$5,0))-MAX($F6,K$5)+1)/DAY(EOMONTH(K$5,0)),0)</f>
        <v>1</v>
      </c>
      <c r="L6" s="39" t="n">
        <f aca="false">IF($H6=1,MAX(0,MIN($G6,EOMONTH(L$5,0))-MAX($F6,L$5)+1)/DAY(EOMONTH(L$5,0)),0)</f>
        <v>1</v>
      </c>
      <c r="M6" s="39" t="n">
        <f aca="false">IF($H6=1,MAX(0,MIN($G6,EOMONTH(M$5,0))-MAX($F6,M$5)+1)/DAY(EOMONTH(M$5,0)),0)</f>
        <v>1</v>
      </c>
      <c r="N6" s="39" t="n">
        <f aca="false">IF($H6=1,MAX(0,MIN($G6,EOMONTH(N$5,0))-MAX($F6,N$5)+1)/DAY(EOMONTH(N$5,0)),0)</f>
        <v>1</v>
      </c>
      <c r="O6" s="39" t="n">
        <f aca="false">IF($H6=1,MAX(0,MIN($G6,EOMONTH(O$5,0))-MAX($F6,O$5)+1)/DAY(EOMONTH(O$5,0)),0)</f>
        <v>1</v>
      </c>
      <c r="P6" s="39" t="n">
        <f aca="false">IF($H6=1,MAX(0,MIN($G6,EOMONTH(P$5,0))-MAX($F6,P$5)+1)/DAY(EOMONTH(P$5,0)),0)</f>
        <v>1</v>
      </c>
      <c r="Q6" s="39" t="n">
        <f aca="false">IF($H6=1,MAX(0,MIN($G6,EOMONTH(Q$5,0))-MAX($F6,Q$5)+1)/DAY(EOMONTH(Q$5,0)),0)</f>
        <v>1</v>
      </c>
      <c r="R6" s="39" t="n">
        <f aca="false">IF($H6=1,MAX(0,MIN($G6,EOMONTH(R$5,0))-MAX($F6,R$5)+1)/DAY(EOMONTH(R$5,0)),0)</f>
        <v>1</v>
      </c>
      <c r="S6" s="39" t="n">
        <f aca="false">IF($H6=1,MAX(0,MIN($G6,EOMONTH(S$5,0))-MAX($F6,S$5)+1)/DAY(EOMONTH(S$5,0)),0)</f>
        <v>1</v>
      </c>
      <c r="T6" s="39" t="n">
        <f aca="false">IF($H6=1,MAX(0,MIN($G6,EOMONTH(T$5,0))-MAX($F6,T$5)+1)/DAY(EOMONTH(T$5,0)),0)</f>
        <v>1</v>
      </c>
      <c r="U6" s="39" t="n">
        <f aca="false">IF($H6=1,MAX(0,MIN($G6,EOMONTH(U$5,0))-MAX($F6,U$5)+1)/DAY(EOMONTH(U$5,0)),0)</f>
        <v>1</v>
      </c>
      <c r="V6" s="39" t="n">
        <f aca="false">IF($H6=1,MAX(0,MIN($G6,EOMONTH(V$5,0))-MAX($F6,V$5)+1)/DAY(EOMONTH(V$5,0)),0)</f>
        <v>1</v>
      </c>
      <c r="W6" s="40" t="n">
        <f aca="false">$E6/12*K6*IF(AND($J6=1,W$5&gt;=Assumptions!$B$18),1+Assumptions!$B$17,1)</f>
        <v>7041.66666666667</v>
      </c>
      <c r="X6" s="40" t="n">
        <f aca="false">$E6/12*L6*IF(AND($J6=1,X$5&gt;=Assumptions!$B$18),1+Assumptions!$B$17,1)</f>
        <v>7041.66666666667</v>
      </c>
      <c r="Y6" s="40" t="n">
        <f aca="false">$E6/12*M6*IF(AND($J6=1,Y$5&gt;=Assumptions!$B$18),1+Assumptions!$B$17,1)</f>
        <v>7041.66666666667</v>
      </c>
      <c r="Z6" s="40" t="n">
        <f aca="false">$E6/12*N6*IF(AND($J6=1,Z$5&gt;=Assumptions!$B$18),1+Assumptions!$B$17,1)</f>
        <v>7288.125</v>
      </c>
      <c r="AA6" s="40" t="n">
        <f aca="false">$E6/12*O6*IF(AND($J6=1,AA$5&gt;=Assumptions!$B$18),1+Assumptions!$B$17,1)</f>
        <v>7288.125</v>
      </c>
      <c r="AB6" s="40" t="n">
        <f aca="false">$E6/12*P6*IF(AND($J6=1,AB$5&gt;=Assumptions!$B$18),1+Assumptions!$B$17,1)</f>
        <v>7288.125</v>
      </c>
      <c r="AC6" s="40" t="n">
        <f aca="false">$E6/12*Q6*IF(AND($J6=1,AC$5&gt;=Assumptions!$B$18),1+Assumptions!$B$17,1)</f>
        <v>7288.125</v>
      </c>
      <c r="AD6" s="40" t="n">
        <f aca="false">$E6/12*R6*IF(AND($J6=1,AD$5&gt;=Assumptions!$B$18),1+Assumptions!$B$17,1)</f>
        <v>7288.125</v>
      </c>
      <c r="AE6" s="40" t="n">
        <f aca="false">$E6/12*S6*IF(AND($J6=1,AE$5&gt;=Assumptions!$B$18),1+Assumptions!$B$17,1)</f>
        <v>7288.125</v>
      </c>
      <c r="AF6" s="40" t="n">
        <f aca="false">$E6/12*T6*IF(AND($J6=1,AF$5&gt;=Assumptions!$B$18),1+Assumptions!$B$17,1)</f>
        <v>7288.125</v>
      </c>
      <c r="AG6" s="40" t="n">
        <f aca="false">$E6/12*U6*IF(AND($J6=1,AG$5&gt;=Assumptions!$B$18),1+Assumptions!$B$17,1)</f>
        <v>7288.125</v>
      </c>
      <c r="AH6" s="40" t="n">
        <f aca="false">$E6/12*V6*IF(AND($J6=1,AH$5&gt;=Assumptions!$B$18),1+Assumptions!$B$17,1)</f>
        <v>7288.125</v>
      </c>
    </row>
    <row r="7" customFormat="false" ht="15" hidden="false" customHeight="true" outlineLevel="0" collapsed="false">
      <c r="A7" s="13" t="str">
        <f aca="false">Roster!A7</f>
        <v>ENG-102</v>
      </c>
      <c r="B7" s="13" t="str">
        <f aca="false">Roster!B7</f>
        <v>Engineering</v>
      </c>
      <c r="C7" s="13" t="str">
        <f aca="false">Roster!E7</f>
        <v>Existing</v>
      </c>
      <c r="D7" s="34" t="n">
        <f aca="false">Roster!D7</f>
        <v>1</v>
      </c>
      <c r="E7" s="35" t="n">
        <f aca="false">Roster!F7</f>
        <v>81000</v>
      </c>
      <c r="F7" s="36" t="n">
        <f aca="false">IF(Roster!E7="Open role",MAX(Assumptions!$B$14,EDATE(Roster!G7,IF(Roster!I7=2,Assumptions!$F$10,0)-Assumptions!$F$9)),Roster!G7)</f>
        <v>45962</v>
      </c>
      <c r="G7" s="36" t="n">
        <f aca="false">IF(Roster!H7="",DATE(2099,12,31),Roster!H7)</f>
        <v>73050</v>
      </c>
      <c r="H7" s="37" t="n">
        <f aca="false">IF(Roster!E7="Existing",1,IF(Roster!I7&lt;=Assumptions!$F$8,1,0))</f>
        <v>1</v>
      </c>
      <c r="I7" s="38" t="n">
        <f aca="false">IF(B7="Sales",Assumptions!$B$23,VLOOKUP(D7,Assumptions!$A$27:$B$31,2,FALSE()))</f>
        <v>0.05</v>
      </c>
      <c r="J7" s="37" t="n">
        <f aca="false">IF(F7&lt;Assumptions!$B$14,1,0)</f>
        <v>1</v>
      </c>
      <c r="K7" s="39" t="n">
        <f aca="false">IF($H7=1,MAX(0,MIN($G7,EOMONTH(K$5,0))-MAX($F7,K$5)+1)/DAY(EOMONTH(K$5,0)),0)</f>
        <v>1</v>
      </c>
      <c r="L7" s="39" t="n">
        <f aca="false">IF($H7=1,MAX(0,MIN($G7,EOMONTH(L$5,0))-MAX($F7,L$5)+1)/DAY(EOMONTH(L$5,0)),0)</f>
        <v>1</v>
      </c>
      <c r="M7" s="39" t="n">
        <f aca="false">IF($H7=1,MAX(0,MIN($G7,EOMONTH(M$5,0))-MAX($F7,M$5)+1)/DAY(EOMONTH(M$5,0)),0)</f>
        <v>1</v>
      </c>
      <c r="N7" s="39" t="n">
        <f aca="false">IF($H7=1,MAX(0,MIN($G7,EOMONTH(N$5,0))-MAX($F7,N$5)+1)/DAY(EOMONTH(N$5,0)),0)</f>
        <v>1</v>
      </c>
      <c r="O7" s="39" t="n">
        <f aca="false">IF($H7=1,MAX(0,MIN($G7,EOMONTH(O$5,0))-MAX($F7,O$5)+1)/DAY(EOMONTH(O$5,0)),0)</f>
        <v>1</v>
      </c>
      <c r="P7" s="39" t="n">
        <f aca="false">IF($H7=1,MAX(0,MIN($G7,EOMONTH(P$5,0))-MAX($F7,P$5)+1)/DAY(EOMONTH(P$5,0)),0)</f>
        <v>1</v>
      </c>
      <c r="Q7" s="39" t="n">
        <f aca="false">IF($H7=1,MAX(0,MIN($G7,EOMONTH(Q$5,0))-MAX($F7,Q$5)+1)/DAY(EOMONTH(Q$5,0)),0)</f>
        <v>1</v>
      </c>
      <c r="R7" s="39" t="n">
        <f aca="false">IF($H7=1,MAX(0,MIN($G7,EOMONTH(R$5,0))-MAX($F7,R$5)+1)/DAY(EOMONTH(R$5,0)),0)</f>
        <v>1</v>
      </c>
      <c r="S7" s="39" t="n">
        <f aca="false">IF($H7=1,MAX(0,MIN($G7,EOMONTH(S$5,0))-MAX($F7,S$5)+1)/DAY(EOMONTH(S$5,0)),0)</f>
        <v>1</v>
      </c>
      <c r="T7" s="39" t="n">
        <f aca="false">IF($H7=1,MAX(0,MIN($G7,EOMONTH(T$5,0))-MAX($F7,T$5)+1)/DAY(EOMONTH(T$5,0)),0)</f>
        <v>1</v>
      </c>
      <c r="U7" s="39" t="n">
        <f aca="false">IF($H7=1,MAX(0,MIN($G7,EOMONTH(U$5,0))-MAX($F7,U$5)+1)/DAY(EOMONTH(U$5,0)),0)</f>
        <v>1</v>
      </c>
      <c r="V7" s="39" t="n">
        <f aca="false">IF($H7=1,MAX(0,MIN($G7,EOMONTH(V$5,0))-MAX($F7,V$5)+1)/DAY(EOMONTH(V$5,0)),0)</f>
        <v>1</v>
      </c>
      <c r="W7" s="40" t="n">
        <f aca="false">$E7/12*K7*IF(AND($J7=1,W$5&gt;=Assumptions!$B$18),1+Assumptions!$B$17,1)</f>
        <v>6750</v>
      </c>
      <c r="X7" s="40" t="n">
        <f aca="false">$E7/12*L7*IF(AND($J7=1,X$5&gt;=Assumptions!$B$18),1+Assumptions!$B$17,1)</f>
        <v>6750</v>
      </c>
      <c r="Y7" s="40" t="n">
        <f aca="false">$E7/12*M7*IF(AND($J7=1,Y$5&gt;=Assumptions!$B$18),1+Assumptions!$B$17,1)</f>
        <v>6750</v>
      </c>
      <c r="Z7" s="40" t="n">
        <f aca="false">$E7/12*N7*IF(AND($J7=1,Z$5&gt;=Assumptions!$B$18),1+Assumptions!$B$17,1)</f>
        <v>6986.25</v>
      </c>
      <c r="AA7" s="40" t="n">
        <f aca="false">$E7/12*O7*IF(AND($J7=1,AA$5&gt;=Assumptions!$B$18),1+Assumptions!$B$17,1)</f>
        <v>6986.25</v>
      </c>
      <c r="AB7" s="40" t="n">
        <f aca="false">$E7/12*P7*IF(AND($J7=1,AB$5&gt;=Assumptions!$B$18),1+Assumptions!$B$17,1)</f>
        <v>6986.25</v>
      </c>
      <c r="AC7" s="40" t="n">
        <f aca="false">$E7/12*Q7*IF(AND($J7=1,AC$5&gt;=Assumptions!$B$18),1+Assumptions!$B$17,1)</f>
        <v>6986.25</v>
      </c>
      <c r="AD7" s="40" t="n">
        <f aca="false">$E7/12*R7*IF(AND($J7=1,AD$5&gt;=Assumptions!$B$18),1+Assumptions!$B$17,1)</f>
        <v>6986.25</v>
      </c>
      <c r="AE7" s="40" t="n">
        <f aca="false">$E7/12*S7*IF(AND($J7=1,AE$5&gt;=Assumptions!$B$18),1+Assumptions!$B$17,1)</f>
        <v>6986.25</v>
      </c>
      <c r="AF7" s="40" t="n">
        <f aca="false">$E7/12*T7*IF(AND($J7=1,AF$5&gt;=Assumptions!$B$18),1+Assumptions!$B$17,1)</f>
        <v>6986.25</v>
      </c>
      <c r="AG7" s="40" t="n">
        <f aca="false">$E7/12*U7*IF(AND($J7=1,AG$5&gt;=Assumptions!$B$18),1+Assumptions!$B$17,1)</f>
        <v>6986.25</v>
      </c>
      <c r="AH7" s="40" t="n">
        <f aca="false">$E7/12*V7*IF(AND($J7=1,AH$5&gt;=Assumptions!$B$18),1+Assumptions!$B$17,1)</f>
        <v>6986.25</v>
      </c>
    </row>
    <row r="8" customFormat="false" ht="15" hidden="false" customHeight="true" outlineLevel="0" collapsed="false">
      <c r="A8" s="13" t="str">
        <f aca="false">Roster!A8</f>
        <v>ENG-103</v>
      </c>
      <c r="B8" s="13" t="str">
        <f aca="false">Roster!B8</f>
        <v>Engineering</v>
      </c>
      <c r="C8" s="13" t="str">
        <f aca="false">Roster!E8</f>
        <v>Existing</v>
      </c>
      <c r="D8" s="34" t="n">
        <f aca="false">Roster!D8</f>
        <v>1</v>
      </c>
      <c r="E8" s="35" t="n">
        <f aca="false">Roster!F8</f>
        <v>86000</v>
      </c>
      <c r="F8" s="36" t="n">
        <f aca="false">IF(Roster!E8="Open role",MAX(Assumptions!$B$14,EDATE(Roster!G8,IF(Roster!I8=2,Assumptions!$F$10,0)-Assumptions!$F$9)),Roster!G8)</f>
        <v>43922</v>
      </c>
      <c r="G8" s="36" t="n">
        <f aca="false">IF(Roster!H8="",DATE(2099,12,31),Roster!H8)</f>
        <v>73050</v>
      </c>
      <c r="H8" s="37" t="n">
        <f aca="false">IF(Roster!E8="Existing",1,IF(Roster!I8&lt;=Assumptions!$F$8,1,0))</f>
        <v>1</v>
      </c>
      <c r="I8" s="38" t="n">
        <f aca="false">IF(B8="Sales",Assumptions!$B$23,VLOOKUP(D8,Assumptions!$A$27:$B$31,2,FALSE()))</f>
        <v>0.05</v>
      </c>
      <c r="J8" s="37" t="n">
        <f aca="false">IF(F8&lt;Assumptions!$B$14,1,0)</f>
        <v>1</v>
      </c>
      <c r="K8" s="39" t="n">
        <f aca="false">IF($H8=1,MAX(0,MIN($G8,EOMONTH(K$5,0))-MAX($F8,K$5)+1)/DAY(EOMONTH(K$5,0)),0)</f>
        <v>1</v>
      </c>
      <c r="L8" s="39" t="n">
        <f aca="false">IF($H8=1,MAX(0,MIN($G8,EOMONTH(L$5,0))-MAX($F8,L$5)+1)/DAY(EOMONTH(L$5,0)),0)</f>
        <v>1</v>
      </c>
      <c r="M8" s="39" t="n">
        <f aca="false">IF($H8=1,MAX(0,MIN($G8,EOMONTH(M$5,0))-MAX($F8,M$5)+1)/DAY(EOMONTH(M$5,0)),0)</f>
        <v>1</v>
      </c>
      <c r="N8" s="39" t="n">
        <f aca="false">IF($H8=1,MAX(0,MIN($G8,EOMONTH(N$5,0))-MAX($F8,N$5)+1)/DAY(EOMONTH(N$5,0)),0)</f>
        <v>1</v>
      </c>
      <c r="O8" s="39" t="n">
        <f aca="false">IF($H8=1,MAX(0,MIN($G8,EOMONTH(O$5,0))-MAX($F8,O$5)+1)/DAY(EOMONTH(O$5,0)),0)</f>
        <v>1</v>
      </c>
      <c r="P8" s="39" t="n">
        <f aca="false">IF($H8=1,MAX(0,MIN($G8,EOMONTH(P$5,0))-MAX($F8,P$5)+1)/DAY(EOMONTH(P$5,0)),0)</f>
        <v>1</v>
      </c>
      <c r="Q8" s="39" t="n">
        <f aca="false">IF($H8=1,MAX(0,MIN($G8,EOMONTH(Q$5,0))-MAX($F8,Q$5)+1)/DAY(EOMONTH(Q$5,0)),0)</f>
        <v>1</v>
      </c>
      <c r="R8" s="39" t="n">
        <f aca="false">IF($H8=1,MAX(0,MIN($G8,EOMONTH(R$5,0))-MAX($F8,R$5)+1)/DAY(EOMONTH(R$5,0)),0)</f>
        <v>1</v>
      </c>
      <c r="S8" s="39" t="n">
        <f aca="false">IF($H8=1,MAX(0,MIN($G8,EOMONTH(S$5,0))-MAX($F8,S$5)+1)/DAY(EOMONTH(S$5,0)),0)</f>
        <v>1</v>
      </c>
      <c r="T8" s="39" t="n">
        <f aca="false">IF($H8=1,MAX(0,MIN($G8,EOMONTH(T$5,0))-MAX($F8,T$5)+1)/DAY(EOMONTH(T$5,0)),0)</f>
        <v>1</v>
      </c>
      <c r="U8" s="39" t="n">
        <f aca="false">IF($H8=1,MAX(0,MIN($G8,EOMONTH(U$5,0))-MAX($F8,U$5)+1)/DAY(EOMONTH(U$5,0)),0)</f>
        <v>1</v>
      </c>
      <c r="V8" s="39" t="n">
        <f aca="false">IF($H8=1,MAX(0,MIN($G8,EOMONTH(V$5,0))-MAX($F8,V$5)+1)/DAY(EOMONTH(V$5,0)),0)</f>
        <v>1</v>
      </c>
      <c r="W8" s="40" t="n">
        <f aca="false">$E8/12*K8*IF(AND($J8=1,W$5&gt;=Assumptions!$B$18),1+Assumptions!$B$17,1)</f>
        <v>7166.66666666667</v>
      </c>
      <c r="X8" s="40" t="n">
        <f aca="false">$E8/12*L8*IF(AND($J8=1,X$5&gt;=Assumptions!$B$18),1+Assumptions!$B$17,1)</f>
        <v>7166.66666666667</v>
      </c>
      <c r="Y8" s="40" t="n">
        <f aca="false">$E8/12*M8*IF(AND($J8=1,Y$5&gt;=Assumptions!$B$18),1+Assumptions!$B$17,1)</f>
        <v>7166.66666666667</v>
      </c>
      <c r="Z8" s="40" t="n">
        <f aca="false">$E8/12*N8*IF(AND($J8=1,Z$5&gt;=Assumptions!$B$18),1+Assumptions!$B$17,1)</f>
        <v>7417.5</v>
      </c>
      <c r="AA8" s="40" t="n">
        <f aca="false">$E8/12*O8*IF(AND($J8=1,AA$5&gt;=Assumptions!$B$18),1+Assumptions!$B$17,1)</f>
        <v>7417.5</v>
      </c>
      <c r="AB8" s="40" t="n">
        <f aca="false">$E8/12*P8*IF(AND($J8=1,AB$5&gt;=Assumptions!$B$18),1+Assumptions!$B$17,1)</f>
        <v>7417.5</v>
      </c>
      <c r="AC8" s="40" t="n">
        <f aca="false">$E8/12*Q8*IF(AND($J8=1,AC$5&gt;=Assumptions!$B$18),1+Assumptions!$B$17,1)</f>
        <v>7417.5</v>
      </c>
      <c r="AD8" s="40" t="n">
        <f aca="false">$E8/12*R8*IF(AND($J8=1,AD$5&gt;=Assumptions!$B$18),1+Assumptions!$B$17,1)</f>
        <v>7417.5</v>
      </c>
      <c r="AE8" s="40" t="n">
        <f aca="false">$E8/12*S8*IF(AND($J8=1,AE$5&gt;=Assumptions!$B$18),1+Assumptions!$B$17,1)</f>
        <v>7417.5</v>
      </c>
      <c r="AF8" s="40" t="n">
        <f aca="false">$E8/12*T8*IF(AND($J8=1,AF$5&gt;=Assumptions!$B$18),1+Assumptions!$B$17,1)</f>
        <v>7417.5</v>
      </c>
      <c r="AG8" s="40" t="n">
        <f aca="false">$E8/12*U8*IF(AND($J8=1,AG$5&gt;=Assumptions!$B$18),1+Assumptions!$B$17,1)</f>
        <v>7417.5</v>
      </c>
      <c r="AH8" s="40" t="n">
        <f aca="false">$E8/12*V8*IF(AND($J8=1,AH$5&gt;=Assumptions!$B$18),1+Assumptions!$B$17,1)</f>
        <v>7417.5</v>
      </c>
    </row>
    <row r="9" customFormat="false" ht="15" hidden="false" customHeight="true" outlineLevel="0" collapsed="false">
      <c r="A9" s="13" t="str">
        <f aca="false">Roster!A9</f>
        <v>ENG-104</v>
      </c>
      <c r="B9" s="13" t="str">
        <f aca="false">Roster!B9</f>
        <v>Engineering</v>
      </c>
      <c r="C9" s="13" t="str">
        <f aca="false">Roster!E9</f>
        <v>Existing</v>
      </c>
      <c r="D9" s="34" t="n">
        <f aca="false">Roster!D9</f>
        <v>1</v>
      </c>
      <c r="E9" s="35" t="n">
        <f aca="false">Roster!F9</f>
        <v>79500</v>
      </c>
      <c r="F9" s="36" t="n">
        <f aca="false">IF(Roster!E9="Open role",MAX(Assumptions!$B$14,EDATE(Roster!G9,IF(Roster!I9=2,Assumptions!$F$10,0)-Assumptions!$F$9)),Roster!G9)</f>
        <v>45170</v>
      </c>
      <c r="G9" s="36" t="n">
        <f aca="false">IF(Roster!H9="",DATE(2099,12,31),Roster!H9)</f>
        <v>73050</v>
      </c>
      <c r="H9" s="37" t="n">
        <f aca="false">IF(Roster!E9="Existing",1,IF(Roster!I9&lt;=Assumptions!$F$8,1,0))</f>
        <v>1</v>
      </c>
      <c r="I9" s="38" t="n">
        <f aca="false">IF(B9="Sales",Assumptions!$B$23,VLOOKUP(D9,Assumptions!$A$27:$B$31,2,FALSE()))</f>
        <v>0.05</v>
      </c>
      <c r="J9" s="37" t="n">
        <f aca="false">IF(F9&lt;Assumptions!$B$14,1,0)</f>
        <v>1</v>
      </c>
      <c r="K9" s="39" t="n">
        <f aca="false">IF($H9=1,MAX(0,MIN($G9,EOMONTH(K$5,0))-MAX($F9,K$5)+1)/DAY(EOMONTH(K$5,0)),0)</f>
        <v>1</v>
      </c>
      <c r="L9" s="39" t="n">
        <f aca="false">IF($H9=1,MAX(0,MIN($G9,EOMONTH(L$5,0))-MAX($F9,L$5)+1)/DAY(EOMONTH(L$5,0)),0)</f>
        <v>1</v>
      </c>
      <c r="M9" s="39" t="n">
        <f aca="false">IF($H9=1,MAX(0,MIN($G9,EOMONTH(M$5,0))-MAX($F9,M$5)+1)/DAY(EOMONTH(M$5,0)),0)</f>
        <v>1</v>
      </c>
      <c r="N9" s="39" t="n">
        <f aca="false">IF($H9=1,MAX(0,MIN($G9,EOMONTH(N$5,0))-MAX($F9,N$5)+1)/DAY(EOMONTH(N$5,0)),0)</f>
        <v>1</v>
      </c>
      <c r="O9" s="39" t="n">
        <f aca="false">IF($H9=1,MAX(0,MIN($G9,EOMONTH(O$5,0))-MAX($F9,O$5)+1)/DAY(EOMONTH(O$5,0)),0)</f>
        <v>1</v>
      </c>
      <c r="P9" s="39" t="n">
        <f aca="false">IF($H9=1,MAX(0,MIN($G9,EOMONTH(P$5,0))-MAX($F9,P$5)+1)/DAY(EOMONTH(P$5,0)),0)</f>
        <v>1</v>
      </c>
      <c r="Q9" s="39" t="n">
        <f aca="false">IF($H9=1,MAX(0,MIN($G9,EOMONTH(Q$5,0))-MAX($F9,Q$5)+1)/DAY(EOMONTH(Q$5,0)),0)</f>
        <v>1</v>
      </c>
      <c r="R9" s="39" t="n">
        <f aca="false">IF($H9=1,MAX(0,MIN($G9,EOMONTH(R$5,0))-MAX($F9,R$5)+1)/DAY(EOMONTH(R$5,0)),0)</f>
        <v>1</v>
      </c>
      <c r="S9" s="39" t="n">
        <f aca="false">IF($H9=1,MAX(0,MIN($G9,EOMONTH(S$5,0))-MAX($F9,S$5)+1)/DAY(EOMONTH(S$5,0)),0)</f>
        <v>1</v>
      </c>
      <c r="T9" s="39" t="n">
        <f aca="false">IF($H9=1,MAX(0,MIN($G9,EOMONTH(T$5,0))-MAX($F9,T$5)+1)/DAY(EOMONTH(T$5,0)),0)</f>
        <v>1</v>
      </c>
      <c r="U9" s="39" t="n">
        <f aca="false">IF($H9=1,MAX(0,MIN($G9,EOMONTH(U$5,0))-MAX($F9,U$5)+1)/DAY(EOMONTH(U$5,0)),0)</f>
        <v>1</v>
      </c>
      <c r="V9" s="39" t="n">
        <f aca="false">IF($H9=1,MAX(0,MIN($G9,EOMONTH(V$5,0))-MAX($F9,V$5)+1)/DAY(EOMONTH(V$5,0)),0)</f>
        <v>1</v>
      </c>
      <c r="W9" s="40" t="n">
        <f aca="false">$E9/12*K9*IF(AND($J9=1,W$5&gt;=Assumptions!$B$18),1+Assumptions!$B$17,1)</f>
        <v>6625</v>
      </c>
      <c r="X9" s="40" t="n">
        <f aca="false">$E9/12*L9*IF(AND($J9=1,X$5&gt;=Assumptions!$B$18),1+Assumptions!$B$17,1)</f>
        <v>6625</v>
      </c>
      <c r="Y9" s="40" t="n">
        <f aca="false">$E9/12*M9*IF(AND($J9=1,Y$5&gt;=Assumptions!$B$18),1+Assumptions!$B$17,1)</f>
        <v>6625</v>
      </c>
      <c r="Z9" s="40" t="n">
        <f aca="false">$E9/12*N9*IF(AND($J9=1,Z$5&gt;=Assumptions!$B$18),1+Assumptions!$B$17,1)</f>
        <v>6856.875</v>
      </c>
      <c r="AA9" s="40" t="n">
        <f aca="false">$E9/12*O9*IF(AND($J9=1,AA$5&gt;=Assumptions!$B$18),1+Assumptions!$B$17,1)</f>
        <v>6856.875</v>
      </c>
      <c r="AB9" s="40" t="n">
        <f aca="false">$E9/12*P9*IF(AND($J9=1,AB$5&gt;=Assumptions!$B$18),1+Assumptions!$B$17,1)</f>
        <v>6856.875</v>
      </c>
      <c r="AC9" s="40" t="n">
        <f aca="false">$E9/12*Q9*IF(AND($J9=1,AC$5&gt;=Assumptions!$B$18),1+Assumptions!$B$17,1)</f>
        <v>6856.875</v>
      </c>
      <c r="AD9" s="40" t="n">
        <f aca="false">$E9/12*R9*IF(AND($J9=1,AD$5&gt;=Assumptions!$B$18),1+Assumptions!$B$17,1)</f>
        <v>6856.875</v>
      </c>
      <c r="AE9" s="40" t="n">
        <f aca="false">$E9/12*S9*IF(AND($J9=1,AE$5&gt;=Assumptions!$B$18),1+Assumptions!$B$17,1)</f>
        <v>6856.875</v>
      </c>
      <c r="AF9" s="40" t="n">
        <f aca="false">$E9/12*T9*IF(AND($J9=1,AF$5&gt;=Assumptions!$B$18),1+Assumptions!$B$17,1)</f>
        <v>6856.875</v>
      </c>
      <c r="AG9" s="40" t="n">
        <f aca="false">$E9/12*U9*IF(AND($J9=1,AG$5&gt;=Assumptions!$B$18),1+Assumptions!$B$17,1)</f>
        <v>6856.875</v>
      </c>
      <c r="AH9" s="40" t="n">
        <f aca="false">$E9/12*V9*IF(AND($J9=1,AH$5&gt;=Assumptions!$B$18),1+Assumptions!$B$17,1)</f>
        <v>6856.875</v>
      </c>
    </row>
    <row r="10" customFormat="false" ht="15" hidden="false" customHeight="true" outlineLevel="0" collapsed="false">
      <c r="A10" s="13" t="str">
        <f aca="false">Roster!A10</f>
        <v>ENG-105</v>
      </c>
      <c r="B10" s="13" t="str">
        <f aca="false">Roster!B10</f>
        <v>Engineering</v>
      </c>
      <c r="C10" s="13" t="str">
        <f aca="false">Roster!E10</f>
        <v>Existing</v>
      </c>
      <c r="D10" s="34" t="n">
        <f aca="false">Roster!D10</f>
        <v>2</v>
      </c>
      <c r="E10" s="35" t="n">
        <f aca="false">Roster!F10</f>
        <v>110500</v>
      </c>
      <c r="F10" s="36" t="n">
        <f aca="false">IF(Roster!E10="Open role",MAX(Assumptions!$B$14,EDATE(Roster!G10,IF(Roster!I10=2,Assumptions!$F$10,0)-Assumptions!$F$9)),Roster!G10)</f>
        <v>46054</v>
      </c>
      <c r="G10" s="36" t="n">
        <f aca="false">IF(Roster!H10="",DATE(2099,12,31),Roster!H10)</f>
        <v>73050</v>
      </c>
      <c r="H10" s="37" t="n">
        <f aca="false">IF(Roster!E10="Existing",1,IF(Roster!I10&lt;=Assumptions!$F$8,1,0))</f>
        <v>1</v>
      </c>
      <c r="I10" s="38" t="n">
        <f aca="false">IF(B10="Sales",Assumptions!$B$23,VLOOKUP(D10,Assumptions!$A$27:$B$31,2,FALSE()))</f>
        <v>0.08</v>
      </c>
      <c r="J10" s="37" t="n">
        <f aca="false">IF(F10&lt;Assumptions!$B$14,1,0)</f>
        <v>1</v>
      </c>
      <c r="K10" s="39" t="n">
        <f aca="false">IF($H10=1,MAX(0,MIN($G10,EOMONTH(K$5,0))-MAX($F10,K$5)+1)/DAY(EOMONTH(K$5,0)),0)</f>
        <v>1</v>
      </c>
      <c r="L10" s="39" t="n">
        <f aca="false">IF($H10=1,MAX(0,MIN($G10,EOMONTH(L$5,0))-MAX($F10,L$5)+1)/DAY(EOMONTH(L$5,0)),0)</f>
        <v>1</v>
      </c>
      <c r="M10" s="39" t="n">
        <f aca="false">IF($H10=1,MAX(0,MIN($G10,EOMONTH(M$5,0))-MAX($F10,M$5)+1)/DAY(EOMONTH(M$5,0)),0)</f>
        <v>1</v>
      </c>
      <c r="N10" s="39" t="n">
        <f aca="false">IF($H10=1,MAX(0,MIN($G10,EOMONTH(N$5,0))-MAX($F10,N$5)+1)/DAY(EOMONTH(N$5,0)),0)</f>
        <v>1</v>
      </c>
      <c r="O10" s="39" t="n">
        <f aca="false">IF($H10=1,MAX(0,MIN($G10,EOMONTH(O$5,0))-MAX($F10,O$5)+1)/DAY(EOMONTH(O$5,0)),0)</f>
        <v>1</v>
      </c>
      <c r="P10" s="39" t="n">
        <f aca="false">IF($H10=1,MAX(0,MIN($G10,EOMONTH(P$5,0))-MAX($F10,P$5)+1)/DAY(EOMONTH(P$5,0)),0)</f>
        <v>1</v>
      </c>
      <c r="Q10" s="39" t="n">
        <f aca="false">IF($H10=1,MAX(0,MIN($G10,EOMONTH(Q$5,0))-MAX($F10,Q$5)+1)/DAY(EOMONTH(Q$5,0)),0)</f>
        <v>1</v>
      </c>
      <c r="R10" s="39" t="n">
        <f aca="false">IF($H10=1,MAX(0,MIN($G10,EOMONTH(R$5,0))-MAX($F10,R$5)+1)/DAY(EOMONTH(R$5,0)),0)</f>
        <v>1</v>
      </c>
      <c r="S10" s="39" t="n">
        <f aca="false">IF($H10=1,MAX(0,MIN($G10,EOMONTH(S$5,0))-MAX($F10,S$5)+1)/DAY(EOMONTH(S$5,0)),0)</f>
        <v>1</v>
      </c>
      <c r="T10" s="39" t="n">
        <f aca="false">IF($H10=1,MAX(0,MIN($G10,EOMONTH(T$5,0))-MAX($F10,T$5)+1)/DAY(EOMONTH(T$5,0)),0)</f>
        <v>1</v>
      </c>
      <c r="U10" s="39" t="n">
        <f aca="false">IF($H10=1,MAX(0,MIN($G10,EOMONTH(U$5,0))-MAX($F10,U$5)+1)/DAY(EOMONTH(U$5,0)),0)</f>
        <v>1</v>
      </c>
      <c r="V10" s="39" t="n">
        <f aca="false">IF($H10=1,MAX(0,MIN($G10,EOMONTH(V$5,0))-MAX($F10,V$5)+1)/DAY(EOMONTH(V$5,0)),0)</f>
        <v>1</v>
      </c>
      <c r="W10" s="40" t="n">
        <f aca="false">$E10/12*K10*IF(AND($J10=1,W$5&gt;=Assumptions!$B$18),1+Assumptions!$B$17,1)</f>
        <v>9208.33333333333</v>
      </c>
      <c r="X10" s="40" t="n">
        <f aca="false">$E10/12*L10*IF(AND($J10=1,X$5&gt;=Assumptions!$B$18),1+Assumptions!$B$17,1)</f>
        <v>9208.33333333333</v>
      </c>
      <c r="Y10" s="40" t="n">
        <f aca="false">$E10/12*M10*IF(AND($J10=1,Y$5&gt;=Assumptions!$B$18),1+Assumptions!$B$17,1)</f>
        <v>9208.33333333333</v>
      </c>
      <c r="Z10" s="40" t="n">
        <f aca="false">$E10/12*N10*IF(AND($J10=1,Z$5&gt;=Assumptions!$B$18),1+Assumptions!$B$17,1)</f>
        <v>9530.625</v>
      </c>
      <c r="AA10" s="40" t="n">
        <f aca="false">$E10/12*O10*IF(AND($J10=1,AA$5&gt;=Assumptions!$B$18),1+Assumptions!$B$17,1)</f>
        <v>9530.625</v>
      </c>
      <c r="AB10" s="40" t="n">
        <f aca="false">$E10/12*P10*IF(AND($J10=1,AB$5&gt;=Assumptions!$B$18),1+Assumptions!$B$17,1)</f>
        <v>9530.625</v>
      </c>
      <c r="AC10" s="40" t="n">
        <f aca="false">$E10/12*Q10*IF(AND($J10=1,AC$5&gt;=Assumptions!$B$18),1+Assumptions!$B$17,1)</f>
        <v>9530.625</v>
      </c>
      <c r="AD10" s="40" t="n">
        <f aca="false">$E10/12*R10*IF(AND($J10=1,AD$5&gt;=Assumptions!$B$18),1+Assumptions!$B$17,1)</f>
        <v>9530.625</v>
      </c>
      <c r="AE10" s="40" t="n">
        <f aca="false">$E10/12*S10*IF(AND($J10=1,AE$5&gt;=Assumptions!$B$18),1+Assumptions!$B$17,1)</f>
        <v>9530.625</v>
      </c>
      <c r="AF10" s="40" t="n">
        <f aca="false">$E10/12*T10*IF(AND($J10=1,AF$5&gt;=Assumptions!$B$18),1+Assumptions!$B$17,1)</f>
        <v>9530.625</v>
      </c>
      <c r="AG10" s="40" t="n">
        <f aca="false">$E10/12*U10*IF(AND($J10=1,AG$5&gt;=Assumptions!$B$18),1+Assumptions!$B$17,1)</f>
        <v>9530.625</v>
      </c>
      <c r="AH10" s="40" t="n">
        <f aca="false">$E10/12*V10*IF(AND($J10=1,AH$5&gt;=Assumptions!$B$18),1+Assumptions!$B$17,1)</f>
        <v>9530.625</v>
      </c>
    </row>
    <row r="11" customFormat="false" ht="15" hidden="false" customHeight="true" outlineLevel="0" collapsed="false">
      <c r="A11" s="13" t="str">
        <f aca="false">Roster!A11</f>
        <v>ENG-106</v>
      </c>
      <c r="B11" s="13" t="str">
        <f aca="false">Roster!B11</f>
        <v>Engineering</v>
      </c>
      <c r="C11" s="13" t="str">
        <f aca="false">Roster!E11</f>
        <v>Existing</v>
      </c>
      <c r="D11" s="34" t="n">
        <f aca="false">Roster!D11</f>
        <v>2</v>
      </c>
      <c r="E11" s="35" t="n">
        <f aca="false">Roster!F11</f>
        <v>108000</v>
      </c>
      <c r="F11" s="36" t="n">
        <f aca="false">IF(Roster!E11="Open role",MAX(Assumptions!$B$14,EDATE(Roster!G11,IF(Roster!I11=2,Assumptions!$F$10,0)-Assumptions!$F$9)),Roster!G11)</f>
        <v>44378</v>
      </c>
      <c r="G11" s="36" t="n">
        <f aca="false">IF(Roster!H11="",DATE(2099,12,31),Roster!H11)</f>
        <v>73050</v>
      </c>
      <c r="H11" s="37" t="n">
        <f aca="false">IF(Roster!E11="Existing",1,IF(Roster!I11&lt;=Assumptions!$F$8,1,0))</f>
        <v>1</v>
      </c>
      <c r="I11" s="38" t="n">
        <f aca="false">IF(B11="Sales",Assumptions!$B$23,VLOOKUP(D11,Assumptions!$A$27:$B$31,2,FALSE()))</f>
        <v>0.08</v>
      </c>
      <c r="J11" s="37" t="n">
        <f aca="false">IF(F11&lt;Assumptions!$B$14,1,0)</f>
        <v>1</v>
      </c>
      <c r="K11" s="39" t="n">
        <f aca="false">IF($H11=1,MAX(0,MIN($G11,EOMONTH(K$5,0))-MAX($F11,K$5)+1)/DAY(EOMONTH(K$5,0)),0)</f>
        <v>1</v>
      </c>
      <c r="L11" s="39" t="n">
        <f aca="false">IF($H11=1,MAX(0,MIN($G11,EOMONTH(L$5,0))-MAX($F11,L$5)+1)/DAY(EOMONTH(L$5,0)),0)</f>
        <v>1</v>
      </c>
      <c r="M11" s="39" t="n">
        <f aca="false">IF($H11=1,MAX(0,MIN($G11,EOMONTH(M$5,0))-MAX($F11,M$5)+1)/DAY(EOMONTH(M$5,0)),0)</f>
        <v>1</v>
      </c>
      <c r="N11" s="39" t="n">
        <f aca="false">IF($H11=1,MAX(0,MIN($G11,EOMONTH(N$5,0))-MAX($F11,N$5)+1)/DAY(EOMONTH(N$5,0)),0)</f>
        <v>1</v>
      </c>
      <c r="O11" s="39" t="n">
        <f aca="false">IF($H11=1,MAX(0,MIN($G11,EOMONTH(O$5,0))-MAX($F11,O$5)+1)/DAY(EOMONTH(O$5,0)),0)</f>
        <v>1</v>
      </c>
      <c r="P11" s="39" t="n">
        <f aca="false">IF($H11=1,MAX(0,MIN($G11,EOMONTH(P$5,0))-MAX($F11,P$5)+1)/DAY(EOMONTH(P$5,0)),0)</f>
        <v>1</v>
      </c>
      <c r="Q11" s="39" t="n">
        <f aca="false">IF($H11=1,MAX(0,MIN($G11,EOMONTH(Q$5,0))-MAX($F11,Q$5)+1)/DAY(EOMONTH(Q$5,0)),0)</f>
        <v>1</v>
      </c>
      <c r="R11" s="39" t="n">
        <f aca="false">IF($H11=1,MAX(0,MIN($G11,EOMONTH(R$5,0))-MAX($F11,R$5)+1)/DAY(EOMONTH(R$5,0)),0)</f>
        <v>1</v>
      </c>
      <c r="S11" s="39" t="n">
        <f aca="false">IF($H11=1,MAX(0,MIN($G11,EOMONTH(S$5,0))-MAX($F11,S$5)+1)/DAY(EOMONTH(S$5,0)),0)</f>
        <v>1</v>
      </c>
      <c r="T11" s="39" t="n">
        <f aca="false">IF($H11=1,MAX(0,MIN($G11,EOMONTH(T$5,0))-MAX($F11,T$5)+1)/DAY(EOMONTH(T$5,0)),0)</f>
        <v>1</v>
      </c>
      <c r="U11" s="39" t="n">
        <f aca="false">IF($H11=1,MAX(0,MIN($G11,EOMONTH(U$5,0))-MAX($F11,U$5)+1)/DAY(EOMONTH(U$5,0)),0)</f>
        <v>1</v>
      </c>
      <c r="V11" s="39" t="n">
        <f aca="false">IF($H11=1,MAX(0,MIN($G11,EOMONTH(V$5,0))-MAX($F11,V$5)+1)/DAY(EOMONTH(V$5,0)),0)</f>
        <v>1</v>
      </c>
      <c r="W11" s="40" t="n">
        <f aca="false">$E11/12*K11*IF(AND($J11=1,W$5&gt;=Assumptions!$B$18),1+Assumptions!$B$17,1)</f>
        <v>9000</v>
      </c>
      <c r="X11" s="40" t="n">
        <f aca="false">$E11/12*L11*IF(AND($J11=1,X$5&gt;=Assumptions!$B$18),1+Assumptions!$B$17,1)</f>
        <v>9000</v>
      </c>
      <c r="Y11" s="40" t="n">
        <f aca="false">$E11/12*M11*IF(AND($J11=1,Y$5&gt;=Assumptions!$B$18),1+Assumptions!$B$17,1)</f>
        <v>9000</v>
      </c>
      <c r="Z11" s="40" t="n">
        <f aca="false">$E11/12*N11*IF(AND($J11=1,Z$5&gt;=Assumptions!$B$18),1+Assumptions!$B$17,1)</f>
        <v>9315</v>
      </c>
      <c r="AA11" s="40" t="n">
        <f aca="false">$E11/12*O11*IF(AND($J11=1,AA$5&gt;=Assumptions!$B$18),1+Assumptions!$B$17,1)</f>
        <v>9315</v>
      </c>
      <c r="AB11" s="40" t="n">
        <f aca="false">$E11/12*P11*IF(AND($J11=1,AB$5&gt;=Assumptions!$B$18),1+Assumptions!$B$17,1)</f>
        <v>9315</v>
      </c>
      <c r="AC11" s="40" t="n">
        <f aca="false">$E11/12*Q11*IF(AND($J11=1,AC$5&gt;=Assumptions!$B$18),1+Assumptions!$B$17,1)</f>
        <v>9315</v>
      </c>
      <c r="AD11" s="40" t="n">
        <f aca="false">$E11/12*R11*IF(AND($J11=1,AD$5&gt;=Assumptions!$B$18),1+Assumptions!$B$17,1)</f>
        <v>9315</v>
      </c>
      <c r="AE11" s="40" t="n">
        <f aca="false">$E11/12*S11*IF(AND($J11=1,AE$5&gt;=Assumptions!$B$18),1+Assumptions!$B$17,1)</f>
        <v>9315</v>
      </c>
      <c r="AF11" s="40" t="n">
        <f aca="false">$E11/12*T11*IF(AND($J11=1,AF$5&gt;=Assumptions!$B$18),1+Assumptions!$B$17,1)</f>
        <v>9315</v>
      </c>
      <c r="AG11" s="40" t="n">
        <f aca="false">$E11/12*U11*IF(AND($J11=1,AG$5&gt;=Assumptions!$B$18),1+Assumptions!$B$17,1)</f>
        <v>9315</v>
      </c>
      <c r="AH11" s="40" t="n">
        <f aca="false">$E11/12*V11*IF(AND($J11=1,AH$5&gt;=Assumptions!$B$18),1+Assumptions!$B$17,1)</f>
        <v>9315</v>
      </c>
    </row>
    <row r="12" customFormat="false" ht="15" hidden="false" customHeight="true" outlineLevel="0" collapsed="false">
      <c r="A12" s="13" t="str">
        <f aca="false">Roster!A12</f>
        <v>ENG-107</v>
      </c>
      <c r="B12" s="13" t="str">
        <f aca="false">Roster!B12</f>
        <v>Engineering</v>
      </c>
      <c r="C12" s="13" t="str">
        <f aca="false">Roster!E12</f>
        <v>Existing</v>
      </c>
      <c r="D12" s="34" t="n">
        <f aca="false">Roster!D12</f>
        <v>2</v>
      </c>
      <c r="E12" s="35" t="n">
        <f aca="false">Roster!F12</f>
        <v>112500</v>
      </c>
      <c r="F12" s="36" t="n">
        <f aca="false">IF(Roster!E12="Open role",MAX(Assumptions!$B$14,EDATE(Roster!G12,IF(Roster!I12=2,Assumptions!$F$10,0)-Assumptions!$F$9)),Roster!G12)</f>
        <v>45627</v>
      </c>
      <c r="G12" s="36" t="n">
        <f aca="false">IF(Roster!H12="",DATE(2099,12,31),Roster!H12)</f>
        <v>73050</v>
      </c>
      <c r="H12" s="37" t="n">
        <f aca="false">IF(Roster!E12="Existing",1,IF(Roster!I12&lt;=Assumptions!$F$8,1,0))</f>
        <v>1</v>
      </c>
      <c r="I12" s="38" t="n">
        <f aca="false">IF(B12="Sales",Assumptions!$B$23,VLOOKUP(D12,Assumptions!$A$27:$B$31,2,FALSE()))</f>
        <v>0.08</v>
      </c>
      <c r="J12" s="37" t="n">
        <f aca="false">IF(F12&lt;Assumptions!$B$14,1,0)</f>
        <v>1</v>
      </c>
      <c r="K12" s="39" t="n">
        <f aca="false">IF($H12=1,MAX(0,MIN($G12,EOMONTH(K$5,0))-MAX($F12,K$5)+1)/DAY(EOMONTH(K$5,0)),0)</f>
        <v>1</v>
      </c>
      <c r="L12" s="39" t="n">
        <f aca="false">IF($H12=1,MAX(0,MIN($G12,EOMONTH(L$5,0))-MAX($F12,L$5)+1)/DAY(EOMONTH(L$5,0)),0)</f>
        <v>1</v>
      </c>
      <c r="M12" s="39" t="n">
        <f aca="false">IF($H12=1,MAX(0,MIN($G12,EOMONTH(M$5,0))-MAX($F12,M$5)+1)/DAY(EOMONTH(M$5,0)),0)</f>
        <v>1</v>
      </c>
      <c r="N12" s="39" t="n">
        <f aca="false">IF($H12=1,MAX(0,MIN($G12,EOMONTH(N$5,0))-MAX($F12,N$5)+1)/DAY(EOMONTH(N$5,0)),0)</f>
        <v>1</v>
      </c>
      <c r="O12" s="39" t="n">
        <f aca="false">IF($H12=1,MAX(0,MIN($G12,EOMONTH(O$5,0))-MAX($F12,O$5)+1)/DAY(EOMONTH(O$5,0)),0)</f>
        <v>1</v>
      </c>
      <c r="P12" s="39" t="n">
        <f aca="false">IF($H12=1,MAX(0,MIN($G12,EOMONTH(P$5,0))-MAX($F12,P$5)+1)/DAY(EOMONTH(P$5,0)),0)</f>
        <v>1</v>
      </c>
      <c r="Q12" s="39" t="n">
        <f aca="false">IF($H12=1,MAX(0,MIN($G12,EOMONTH(Q$5,0))-MAX($F12,Q$5)+1)/DAY(EOMONTH(Q$5,0)),0)</f>
        <v>1</v>
      </c>
      <c r="R12" s="39" t="n">
        <f aca="false">IF($H12=1,MAX(0,MIN($G12,EOMONTH(R$5,0))-MAX($F12,R$5)+1)/DAY(EOMONTH(R$5,0)),0)</f>
        <v>1</v>
      </c>
      <c r="S12" s="39" t="n">
        <f aca="false">IF($H12=1,MAX(0,MIN($G12,EOMONTH(S$5,0))-MAX($F12,S$5)+1)/DAY(EOMONTH(S$5,0)),0)</f>
        <v>1</v>
      </c>
      <c r="T12" s="39" t="n">
        <f aca="false">IF($H12=1,MAX(0,MIN($G12,EOMONTH(T$5,0))-MAX($F12,T$5)+1)/DAY(EOMONTH(T$5,0)),0)</f>
        <v>1</v>
      </c>
      <c r="U12" s="39" t="n">
        <f aca="false">IF($H12=1,MAX(0,MIN($G12,EOMONTH(U$5,0))-MAX($F12,U$5)+1)/DAY(EOMONTH(U$5,0)),0)</f>
        <v>1</v>
      </c>
      <c r="V12" s="39" t="n">
        <f aca="false">IF($H12=1,MAX(0,MIN($G12,EOMONTH(V$5,0))-MAX($F12,V$5)+1)/DAY(EOMONTH(V$5,0)),0)</f>
        <v>1</v>
      </c>
      <c r="W12" s="40" t="n">
        <f aca="false">$E12/12*K12*IF(AND($J12=1,W$5&gt;=Assumptions!$B$18),1+Assumptions!$B$17,1)</f>
        <v>9375</v>
      </c>
      <c r="X12" s="40" t="n">
        <f aca="false">$E12/12*L12*IF(AND($J12=1,X$5&gt;=Assumptions!$B$18),1+Assumptions!$B$17,1)</f>
        <v>9375</v>
      </c>
      <c r="Y12" s="40" t="n">
        <f aca="false">$E12/12*M12*IF(AND($J12=1,Y$5&gt;=Assumptions!$B$18),1+Assumptions!$B$17,1)</f>
        <v>9375</v>
      </c>
      <c r="Z12" s="40" t="n">
        <f aca="false">$E12/12*N12*IF(AND($J12=1,Z$5&gt;=Assumptions!$B$18),1+Assumptions!$B$17,1)</f>
        <v>9703.125</v>
      </c>
      <c r="AA12" s="40" t="n">
        <f aca="false">$E12/12*O12*IF(AND($J12=1,AA$5&gt;=Assumptions!$B$18),1+Assumptions!$B$17,1)</f>
        <v>9703.125</v>
      </c>
      <c r="AB12" s="40" t="n">
        <f aca="false">$E12/12*P12*IF(AND($J12=1,AB$5&gt;=Assumptions!$B$18),1+Assumptions!$B$17,1)</f>
        <v>9703.125</v>
      </c>
      <c r="AC12" s="40" t="n">
        <f aca="false">$E12/12*Q12*IF(AND($J12=1,AC$5&gt;=Assumptions!$B$18),1+Assumptions!$B$17,1)</f>
        <v>9703.125</v>
      </c>
      <c r="AD12" s="40" t="n">
        <f aca="false">$E12/12*R12*IF(AND($J12=1,AD$5&gt;=Assumptions!$B$18),1+Assumptions!$B$17,1)</f>
        <v>9703.125</v>
      </c>
      <c r="AE12" s="40" t="n">
        <f aca="false">$E12/12*S12*IF(AND($J12=1,AE$5&gt;=Assumptions!$B$18),1+Assumptions!$B$17,1)</f>
        <v>9703.125</v>
      </c>
      <c r="AF12" s="40" t="n">
        <f aca="false">$E12/12*T12*IF(AND($J12=1,AF$5&gt;=Assumptions!$B$18),1+Assumptions!$B$17,1)</f>
        <v>9703.125</v>
      </c>
      <c r="AG12" s="40" t="n">
        <f aca="false">$E12/12*U12*IF(AND($J12=1,AG$5&gt;=Assumptions!$B$18),1+Assumptions!$B$17,1)</f>
        <v>9703.125</v>
      </c>
      <c r="AH12" s="40" t="n">
        <f aca="false">$E12/12*V12*IF(AND($J12=1,AH$5&gt;=Assumptions!$B$18),1+Assumptions!$B$17,1)</f>
        <v>9703.125</v>
      </c>
    </row>
    <row r="13" customFormat="false" ht="15" hidden="false" customHeight="true" outlineLevel="0" collapsed="false">
      <c r="A13" s="13" t="str">
        <f aca="false">Roster!A13</f>
        <v>ENG-108</v>
      </c>
      <c r="B13" s="13" t="str">
        <f aca="false">Roster!B13</f>
        <v>Engineering</v>
      </c>
      <c r="C13" s="13" t="str">
        <f aca="false">Roster!E13</f>
        <v>Existing</v>
      </c>
      <c r="D13" s="34" t="n">
        <f aca="false">Roster!D13</f>
        <v>2</v>
      </c>
      <c r="E13" s="35" t="n">
        <f aca="false">Roster!F13</f>
        <v>109000</v>
      </c>
      <c r="F13" s="36" t="n">
        <f aca="false">IF(Roster!E13="Open role",MAX(Assumptions!$B$14,EDATE(Roster!G13,IF(Roster!I13=2,Assumptions!$F$10,0)-Assumptions!$F$9)),Roster!G13)</f>
        <v>43586</v>
      </c>
      <c r="G13" s="36" t="n">
        <f aca="false">IF(Roster!H13="",DATE(2099,12,31),Roster!H13)</f>
        <v>73050</v>
      </c>
      <c r="H13" s="37" t="n">
        <f aca="false">IF(Roster!E13="Existing",1,IF(Roster!I13&lt;=Assumptions!$F$8,1,0))</f>
        <v>1</v>
      </c>
      <c r="I13" s="38" t="n">
        <f aca="false">IF(B13="Sales",Assumptions!$B$23,VLOOKUP(D13,Assumptions!$A$27:$B$31,2,FALSE()))</f>
        <v>0.08</v>
      </c>
      <c r="J13" s="37" t="n">
        <f aca="false">IF(F13&lt;Assumptions!$B$14,1,0)</f>
        <v>1</v>
      </c>
      <c r="K13" s="39" t="n">
        <f aca="false">IF($H13=1,MAX(0,MIN($G13,EOMONTH(K$5,0))-MAX($F13,K$5)+1)/DAY(EOMONTH(K$5,0)),0)</f>
        <v>1</v>
      </c>
      <c r="L13" s="39" t="n">
        <f aca="false">IF($H13=1,MAX(0,MIN($G13,EOMONTH(L$5,0))-MAX($F13,L$5)+1)/DAY(EOMONTH(L$5,0)),0)</f>
        <v>1</v>
      </c>
      <c r="M13" s="39" t="n">
        <f aca="false">IF($H13=1,MAX(0,MIN($G13,EOMONTH(M$5,0))-MAX($F13,M$5)+1)/DAY(EOMONTH(M$5,0)),0)</f>
        <v>1</v>
      </c>
      <c r="N13" s="39" t="n">
        <f aca="false">IF($H13=1,MAX(0,MIN($G13,EOMONTH(N$5,0))-MAX($F13,N$5)+1)/DAY(EOMONTH(N$5,0)),0)</f>
        <v>1</v>
      </c>
      <c r="O13" s="39" t="n">
        <f aca="false">IF($H13=1,MAX(0,MIN($G13,EOMONTH(O$5,0))-MAX($F13,O$5)+1)/DAY(EOMONTH(O$5,0)),0)</f>
        <v>1</v>
      </c>
      <c r="P13" s="39" t="n">
        <f aca="false">IF($H13=1,MAX(0,MIN($G13,EOMONTH(P$5,0))-MAX($F13,P$5)+1)/DAY(EOMONTH(P$5,0)),0)</f>
        <v>1</v>
      </c>
      <c r="Q13" s="39" t="n">
        <f aca="false">IF($H13=1,MAX(0,MIN($G13,EOMONTH(Q$5,0))-MAX($F13,Q$5)+1)/DAY(EOMONTH(Q$5,0)),0)</f>
        <v>1</v>
      </c>
      <c r="R13" s="39" t="n">
        <f aca="false">IF($H13=1,MAX(0,MIN($G13,EOMONTH(R$5,0))-MAX($F13,R$5)+1)/DAY(EOMONTH(R$5,0)),0)</f>
        <v>1</v>
      </c>
      <c r="S13" s="39" t="n">
        <f aca="false">IF($H13=1,MAX(0,MIN($G13,EOMONTH(S$5,0))-MAX($F13,S$5)+1)/DAY(EOMONTH(S$5,0)),0)</f>
        <v>1</v>
      </c>
      <c r="T13" s="39" t="n">
        <f aca="false">IF($H13=1,MAX(0,MIN($G13,EOMONTH(T$5,0))-MAX($F13,T$5)+1)/DAY(EOMONTH(T$5,0)),0)</f>
        <v>1</v>
      </c>
      <c r="U13" s="39" t="n">
        <f aca="false">IF($H13=1,MAX(0,MIN($G13,EOMONTH(U$5,0))-MAX($F13,U$5)+1)/DAY(EOMONTH(U$5,0)),0)</f>
        <v>1</v>
      </c>
      <c r="V13" s="39" t="n">
        <f aca="false">IF($H13=1,MAX(0,MIN($G13,EOMONTH(V$5,0))-MAX($F13,V$5)+1)/DAY(EOMONTH(V$5,0)),0)</f>
        <v>1</v>
      </c>
      <c r="W13" s="40" t="n">
        <f aca="false">$E13/12*K13*IF(AND($J13=1,W$5&gt;=Assumptions!$B$18),1+Assumptions!$B$17,1)</f>
        <v>9083.33333333333</v>
      </c>
      <c r="X13" s="40" t="n">
        <f aca="false">$E13/12*L13*IF(AND($J13=1,X$5&gt;=Assumptions!$B$18),1+Assumptions!$B$17,1)</f>
        <v>9083.33333333333</v>
      </c>
      <c r="Y13" s="40" t="n">
        <f aca="false">$E13/12*M13*IF(AND($J13=1,Y$5&gt;=Assumptions!$B$18),1+Assumptions!$B$17,1)</f>
        <v>9083.33333333333</v>
      </c>
      <c r="Z13" s="40" t="n">
        <f aca="false">$E13/12*N13*IF(AND($J13=1,Z$5&gt;=Assumptions!$B$18),1+Assumptions!$B$17,1)</f>
        <v>9401.25</v>
      </c>
      <c r="AA13" s="40" t="n">
        <f aca="false">$E13/12*O13*IF(AND($J13=1,AA$5&gt;=Assumptions!$B$18),1+Assumptions!$B$17,1)</f>
        <v>9401.25</v>
      </c>
      <c r="AB13" s="40" t="n">
        <f aca="false">$E13/12*P13*IF(AND($J13=1,AB$5&gt;=Assumptions!$B$18),1+Assumptions!$B$17,1)</f>
        <v>9401.25</v>
      </c>
      <c r="AC13" s="40" t="n">
        <f aca="false">$E13/12*Q13*IF(AND($J13=1,AC$5&gt;=Assumptions!$B$18),1+Assumptions!$B$17,1)</f>
        <v>9401.25</v>
      </c>
      <c r="AD13" s="40" t="n">
        <f aca="false">$E13/12*R13*IF(AND($J13=1,AD$5&gt;=Assumptions!$B$18),1+Assumptions!$B$17,1)</f>
        <v>9401.25</v>
      </c>
      <c r="AE13" s="40" t="n">
        <f aca="false">$E13/12*S13*IF(AND($J13=1,AE$5&gt;=Assumptions!$B$18),1+Assumptions!$B$17,1)</f>
        <v>9401.25</v>
      </c>
      <c r="AF13" s="40" t="n">
        <f aca="false">$E13/12*T13*IF(AND($J13=1,AF$5&gt;=Assumptions!$B$18),1+Assumptions!$B$17,1)</f>
        <v>9401.25</v>
      </c>
      <c r="AG13" s="40" t="n">
        <f aca="false">$E13/12*U13*IF(AND($J13=1,AG$5&gt;=Assumptions!$B$18),1+Assumptions!$B$17,1)</f>
        <v>9401.25</v>
      </c>
      <c r="AH13" s="40" t="n">
        <f aca="false">$E13/12*V13*IF(AND($J13=1,AH$5&gt;=Assumptions!$B$18),1+Assumptions!$B$17,1)</f>
        <v>9401.25</v>
      </c>
    </row>
    <row r="14" customFormat="false" ht="15" hidden="false" customHeight="true" outlineLevel="0" collapsed="false">
      <c r="A14" s="13" t="str">
        <f aca="false">Roster!A14</f>
        <v>ENG-109</v>
      </c>
      <c r="B14" s="13" t="str">
        <f aca="false">Roster!B14</f>
        <v>Engineering</v>
      </c>
      <c r="C14" s="13" t="str">
        <f aca="false">Roster!E14</f>
        <v>Existing</v>
      </c>
      <c r="D14" s="34" t="n">
        <f aca="false">Roster!D14</f>
        <v>2</v>
      </c>
      <c r="E14" s="35" t="n">
        <f aca="false">Roster!F14</f>
        <v>111500</v>
      </c>
      <c r="F14" s="36" t="n">
        <f aca="false">IF(Roster!E14="Open role",MAX(Assumptions!$B$14,EDATE(Roster!G14,IF(Roster!I14=2,Assumptions!$F$10,0)-Assumptions!$F$9)),Roster!G14)</f>
        <v>44835</v>
      </c>
      <c r="G14" s="36" t="n">
        <f aca="false">IF(Roster!H14="",DATE(2099,12,31),Roster!H14)</f>
        <v>73050</v>
      </c>
      <c r="H14" s="37" t="n">
        <f aca="false">IF(Roster!E14="Existing",1,IF(Roster!I14&lt;=Assumptions!$F$8,1,0))</f>
        <v>1</v>
      </c>
      <c r="I14" s="38" t="n">
        <f aca="false">IF(B14="Sales",Assumptions!$B$23,VLOOKUP(D14,Assumptions!$A$27:$B$31,2,FALSE()))</f>
        <v>0.08</v>
      </c>
      <c r="J14" s="37" t="n">
        <f aca="false">IF(F14&lt;Assumptions!$B$14,1,0)</f>
        <v>1</v>
      </c>
      <c r="K14" s="39" t="n">
        <f aca="false">IF($H14=1,MAX(0,MIN($G14,EOMONTH(K$5,0))-MAX($F14,K$5)+1)/DAY(EOMONTH(K$5,0)),0)</f>
        <v>1</v>
      </c>
      <c r="L14" s="39" t="n">
        <f aca="false">IF($H14=1,MAX(0,MIN($G14,EOMONTH(L$5,0))-MAX($F14,L$5)+1)/DAY(EOMONTH(L$5,0)),0)</f>
        <v>1</v>
      </c>
      <c r="M14" s="39" t="n">
        <f aca="false">IF($H14=1,MAX(0,MIN($G14,EOMONTH(M$5,0))-MAX($F14,M$5)+1)/DAY(EOMONTH(M$5,0)),0)</f>
        <v>1</v>
      </c>
      <c r="N14" s="39" t="n">
        <f aca="false">IF($H14=1,MAX(0,MIN($G14,EOMONTH(N$5,0))-MAX($F14,N$5)+1)/DAY(EOMONTH(N$5,0)),0)</f>
        <v>1</v>
      </c>
      <c r="O14" s="39" t="n">
        <f aca="false">IF($H14=1,MAX(0,MIN($G14,EOMONTH(O$5,0))-MAX($F14,O$5)+1)/DAY(EOMONTH(O$5,0)),0)</f>
        <v>1</v>
      </c>
      <c r="P14" s="39" t="n">
        <f aca="false">IF($H14=1,MAX(0,MIN($G14,EOMONTH(P$5,0))-MAX($F14,P$5)+1)/DAY(EOMONTH(P$5,0)),0)</f>
        <v>1</v>
      </c>
      <c r="Q14" s="39" t="n">
        <f aca="false">IF($H14=1,MAX(0,MIN($G14,EOMONTH(Q$5,0))-MAX($F14,Q$5)+1)/DAY(EOMONTH(Q$5,0)),0)</f>
        <v>1</v>
      </c>
      <c r="R14" s="39" t="n">
        <f aca="false">IF($H14=1,MAX(0,MIN($G14,EOMONTH(R$5,0))-MAX($F14,R$5)+1)/DAY(EOMONTH(R$5,0)),0)</f>
        <v>1</v>
      </c>
      <c r="S14" s="39" t="n">
        <f aca="false">IF($H14=1,MAX(0,MIN($G14,EOMONTH(S$5,0))-MAX($F14,S$5)+1)/DAY(EOMONTH(S$5,0)),0)</f>
        <v>1</v>
      </c>
      <c r="T14" s="39" t="n">
        <f aca="false">IF($H14=1,MAX(0,MIN($G14,EOMONTH(T$5,0))-MAX($F14,T$5)+1)/DAY(EOMONTH(T$5,0)),0)</f>
        <v>1</v>
      </c>
      <c r="U14" s="39" t="n">
        <f aca="false">IF($H14=1,MAX(0,MIN($G14,EOMONTH(U$5,0))-MAX($F14,U$5)+1)/DAY(EOMONTH(U$5,0)),0)</f>
        <v>1</v>
      </c>
      <c r="V14" s="39" t="n">
        <f aca="false">IF($H14=1,MAX(0,MIN($G14,EOMONTH(V$5,0))-MAX($F14,V$5)+1)/DAY(EOMONTH(V$5,0)),0)</f>
        <v>1</v>
      </c>
      <c r="W14" s="40" t="n">
        <f aca="false">$E14/12*K14*IF(AND($J14=1,W$5&gt;=Assumptions!$B$18),1+Assumptions!$B$17,1)</f>
        <v>9291.66666666667</v>
      </c>
      <c r="X14" s="40" t="n">
        <f aca="false">$E14/12*L14*IF(AND($J14=1,X$5&gt;=Assumptions!$B$18),1+Assumptions!$B$17,1)</f>
        <v>9291.66666666667</v>
      </c>
      <c r="Y14" s="40" t="n">
        <f aca="false">$E14/12*M14*IF(AND($J14=1,Y$5&gt;=Assumptions!$B$18),1+Assumptions!$B$17,1)</f>
        <v>9291.66666666667</v>
      </c>
      <c r="Z14" s="40" t="n">
        <f aca="false">$E14/12*N14*IF(AND($J14=1,Z$5&gt;=Assumptions!$B$18),1+Assumptions!$B$17,1)</f>
        <v>9616.875</v>
      </c>
      <c r="AA14" s="40" t="n">
        <f aca="false">$E14/12*O14*IF(AND($J14=1,AA$5&gt;=Assumptions!$B$18),1+Assumptions!$B$17,1)</f>
        <v>9616.875</v>
      </c>
      <c r="AB14" s="40" t="n">
        <f aca="false">$E14/12*P14*IF(AND($J14=1,AB$5&gt;=Assumptions!$B$18),1+Assumptions!$B$17,1)</f>
        <v>9616.875</v>
      </c>
      <c r="AC14" s="40" t="n">
        <f aca="false">$E14/12*Q14*IF(AND($J14=1,AC$5&gt;=Assumptions!$B$18),1+Assumptions!$B$17,1)</f>
        <v>9616.875</v>
      </c>
      <c r="AD14" s="40" t="n">
        <f aca="false">$E14/12*R14*IF(AND($J14=1,AD$5&gt;=Assumptions!$B$18),1+Assumptions!$B$17,1)</f>
        <v>9616.875</v>
      </c>
      <c r="AE14" s="40" t="n">
        <f aca="false">$E14/12*S14*IF(AND($J14=1,AE$5&gt;=Assumptions!$B$18),1+Assumptions!$B$17,1)</f>
        <v>9616.875</v>
      </c>
      <c r="AF14" s="40" t="n">
        <f aca="false">$E14/12*T14*IF(AND($J14=1,AF$5&gt;=Assumptions!$B$18),1+Assumptions!$B$17,1)</f>
        <v>9616.875</v>
      </c>
      <c r="AG14" s="40" t="n">
        <f aca="false">$E14/12*U14*IF(AND($J14=1,AG$5&gt;=Assumptions!$B$18),1+Assumptions!$B$17,1)</f>
        <v>9616.875</v>
      </c>
      <c r="AH14" s="40" t="n">
        <f aca="false">$E14/12*V14*IF(AND($J14=1,AH$5&gt;=Assumptions!$B$18),1+Assumptions!$B$17,1)</f>
        <v>9616.875</v>
      </c>
    </row>
    <row r="15" customFormat="false" ht="15" hidden="false" customHeight="true" outlineLevel="0" collapsed="false">
      <c r="A15" s="13" t="str">
        <f aca="false">Roster!A15</f>
        <v>ENG-110</v>
      </c>
      <c r="B15" s="13" t="str">
        <f aca="false">Roster!B15</f>
        <v>Engineering</v>
      </c>
      <c r="C15" s="13" t="str">
        <f aca="false">Roster!E15</f>
        <v>Existing</v>
      </c>
      <c r="D15" s="34" t="n">
        <f aca="false">Roster!D15</f>
        <v>2</v>
      </c>
      <c r="E15" s="35" t="n">
        <f aca="false">Roster!F15</f>
        <v>107000</v>
      </c>
      <c r="F15" s="36" t="n">
        <f aca="false">IF(Roster!E15="Open role",MAX(Assumptions!$B$14,EDATE(Roster!G15,IF(Roster!I15=2,Assumptions!$F$10,0)-Assumptions!$F$9)),Roster!G15)</f>
        <v>45717</v>
      </c>
      <c r="G15" s="36" t="n">
        <f aca="false">IF(Roster!H15="",DATE(2099,12,31),Roster!H15)</f>
        <v>73050</v>
      </c>
      <c r="H15" s="37" t="n">
        <f aca="false">IF(Roster!E15="Existing",1,IF(Roster!I15&lt;=Assumptions!$F$8,1,0))</f>
        <v>1</v>
      </c>
      <c r="I15" s="38" t="n">
        <f aca="false">IF(B15="Sales",Assumptions!$B$23,VLOOKUP(D15,Assumptions!$A$27:$B$31,2,FALSE()))</f>
        <v>0.08</v>
      </c>
      <c r="J15" s="37" t="n">
        <f aca="false">IF(F15&lt;Assumptions!$B$14,1,0)</f>
        <v>1</v>
      </c>
      <c r="K15" s="39" t="n">
        <f aca="false">IF($H15=1,MAX(0,MIN($G15,EOMONTH(K$5,0))-MAX($F15,K$5)+1)/DAY(EOMONTH(K$5,0)),0)</f>
        <v>1</v>
      </c>
      <c r="L15" s="39" t="n">
        <f aca="false">IF($H15=1,MAX(0,MIN($G15,EOMONTH(L$5,0))-MAX($F15,L$5)+1)/DAY(EOMONTH(L$5,0)),0)</f>
        <v>1</v>
      </c>
      <c r="M15" s="39" t="n">
        <f aca="false">IF($H15=1,MAX(0,MIN($G15,EOMONTH(M$5,0))-MAX($F15,M$5)+1)/DAY(EOMONTH(M$5,0)),0)</f>
        <v>1</v>
      </c>
      <c r="N15" s="39" t="n">
        <f aca="false">IF($H15=1,MAX(0,MIN($G15,EOMONTH(N$5,0))-MAX($F15,N$5)+1)/DAY(EOMONTH(N$5,0)),0)</f>
        <v>1</v>
      </c>
      <c r="O15" s="39" t="n">
        <f aca="false">IF($H15=1,MAX(0,MIN($G15,EOMONTH(O$5,0))-MAX($F15,O$5)+1)/DAY(EOMONTH(O$5,0)),0)</f>
        <v>1</v>
      </c>
      <c r="P15" s="39" t="n">
        <f aca="false">IF($H15=1,MAX(0,MIN($G15,EOMONTH(P$5,0))-MAX($F15,P$5)+1)/DAY(EOMONTH(P$5,0)),0)</f>
        <v>1</v>
      </c>
      <c r="Q15" s="39" t="n">
        <f aca="false">IF($H15=1,MAX(0,MIN($G15,EOMONTH(Q$5,0))-MAX($F15,Q$5)+1)/DAY(EOMONTH(Q$5,0)),0)</f>
        <v>1</v>
      </c>
      <c r="R15" s="39" t="n">
        <f aca="false">IF($H15=1,MAX(0,MIN($G15,EOMONTH(R$5,0))-MAX($F15,R$5)+1)/DAY(EOMONTH(R$5,0)),0)</f>
        <v>1</v>
      </c>
      <c r="S15" s="39" t="n">
        <f aca="false">IF($H15=1,MAX(0,MIN($G15,EOMONTH(S$5,0))-MAX($F15,S$5)+1)/DAY(EOMONTH(S$5,0)),0)</f>
        <v>1</v>
      </c>
      <c r="T15" s="39" t="n">
        <f aca="false">IF($H15=1,MAX(0,MIN($G15,EOMONTH(T$5,0))-MAX($F15,T$5)+1)/DAY(EOMONTH(T$5,0)),0)</f>
        <v>1</v>
      </c>
      <c r="U15" s="39" t="n">
        <f aca="false">IF($H15=1,MAX(0,MIN($G15,EOMONTH(U$5,0))-MAX($F15,U$5)+1)/DAY(EOMONTH(U$5,0)),0)</f>
        <v>1</v>
      </c>
      <c r="V15" s="39" t="n">
        <f aca="false">IF($H15=1,MAX(0,MIN($G15,EOMONTH(V$5,0))-MAX($F15,V$5)+1)/DAY(EOMONTH(V$5,0)),0)</f>
        <v>1</v>
      </c>
      <c r="W15" s="40" t="n">
        <f aca="false">$E15/12*K15*IF(AND($J15=1,W$5&gt;=Assumptions!$B$18),1+Assumptions!$B$17,1)</f>
        <v>8916.66666666667</v>
      </c>
      <c r="X15" s="40" t="n">
        <f aca="false">$E15/12*L15*IF(AND($J15=1,X$5&gt;=Assumptions!$B$18),1+Assumptions!$B$17,1)</f>
        <v>8916.66666666667</v>
      </c>
      <c r="Y15" s="40" t="n">
        <f aca="false">$E15/12*M15*IF(AND($J15=1,Y$5&gt;=Assumptions!$B$18),1+Assumptions!$B$17,1)</f>
        <v>8916.66666666667</v>
      </c>
      <c r="Z15" s="40" t="n">
        <f aca="false">$E15/12*N15*IF(AND($J15=1,Z$5&gt;=Assumptions!$B$18),1+Assumptions!$B$17,1)</f>
        <v>9228.75</v>
      </c>
      <c r="AA15" s="40" t="n">
        <f aca="false">$E15/12*O15*IF(AND($J15=1,AA$5&gt;=Assumptions!$B$18),1+Assumptions!$B$17,1)</f>
        <v>9228.75</v>
      </c>
      <c r="AB15" s="40" t="n">
        <f aca="false">$E15/12*P15*IF(AND($J15=1,AB$5&gt;=Assumptions!$B$18),1+Assumptions!$B$17,1)</f>
        <v>9228.75</v>
      </c>
      <c r="AC15" s="40" t="n">
        <f aca="false">$E15/12*Q15*IF(AND($J15=1,AC$5&gt;=Assumptions!$B$18),1+Assumptions!$B$17,1)</f>
        <v>9228.75</v>
      </c>
      <c r="AD15" s="40" t="n">
        <f aca="false">$E15/12*R15*IF(AND($J15=1,AD$5&gt;=Assumptions!$B$18),1+Assumptions!$B$17,1)</f>
        <v>9228.75</v>
      </c>
      <c r="AE15" s="40" t="n">
        <f aca="false">$E15/12*S15*IF(AND($J15=1,AE$5&gt;=Assumptions!$B$18),1+Assumptions!$B$17,1)</f>
        <v>9228.75</v>
      </c>
      <c r="AF15" s="40" t="n">
        <f aca="false">$E15/12*T15*IF(AND($J15=1,AF$5&gt;=Assumptions!$B$18),1+Assumptions!$B$17,1)</f>
        <v>9228.75</v>
      </c>
      <c r="AG15" s="40" t="n">
        <f aca="false">$E15/12*U15*IF(AND($J15=1,AG$5&gt;=Assumptions!$B$18),1+Assumptions!$B$17,1)</f>
        <v>9228.75</v>
      </c>
      <c r="AH15" s="40" t="n">
        <f aca="false">$E15/12*V15*IF(AND($J15=1,AH$5&gt;=Assumptions!$B$18),1+Assumptions!$B$17,1)</f>
        <v>9228.75</v>
      </c>
    </row>
    <row r="16" customFormat="false" ht="15" hidden="false" customHeight="true" outlineLevel="0" collapsed="false">
      <c r="A16" s="13" t="str">
        <f aca="false">Roster!A16</f>
        <v>ENG-111</v>
      </c>
      <c r="B16" s="13" t="str">
        <f aca="false">Roster!B16</f>
        <v>Engineering</v>
      </c>
      <c r="C16" s="13" t="str">
        <f aca="false">Roster!E16</f>
        <v>Existing</v>
      </c>
      <c r="D16" s="34" t="n">
        <f aca="false">Roster!D16</f>
        <v>3</v>
      </c>
      <c r="E16" s="35" t="n">
        <f aca="false">Roster!F16</f>
        <v>153000</v>
      </c>
      <c r="F16" s="36" t="n">
        <f aca="false">IF(Roster!E16="Open role",MAX(Assumptions!$B$14,EDATE(Roster!G16,IF(Roster!I16=2,Assumptions!$F$10,0)-Assumptions!$F$9)),Roster!G16)</f>
        <v>44044</v>
      </c>
      <c r="G16" s="36" t="n">
        <f aca="false">IF(Roster!H16="",DATE(2099,12,31),Roster!H16)</f>
        <v>46507</v>
      </c>
      <c r="H16" s="37" t="n">
        <f aca="false">IF(Roster!E16="Existing",1,IF(Roster!I16&lt;=Assumptions!$F$8,1,0))</f>
        <v>1</v>
      </c>
      <c r="I16" s="38" t="n">
        <f aca="false">IF(B16="Sales",Assumptions!$B$23,VLOOKUP(D16,Assumptions!$A$27:$B$31,2,FALSE()))</f>
        <v>0.1</v>
      </c>
      <c r="J16" s="37" t="n">
        <f aca="false">IF(F16&lt;Assumptions!$B$14,1,0)</f>
        <v>1</v>
      </c>
      <c r="K16" s="39" t="n">
        <f aca="false">IF($H16=1,MAX(0,MIN($G16,EOMONTH(K$5,0))-MAX($F16,K$5)+1)/DAY(EOMONTH(K$5,0)),0)</f>
        <v>1</v>
      </c>
      <c r="L16" s="39" t="n">
        <f aca="false">IF($H16=1,MAX(0,MIN($G16,EOMONTH(L$5,0))-MAX($F16,L$5)+1)/DAY(EOMONTH(L$5,0)),0)</f>
        <v>1</v>
      </c>
      <c r="M16" s="39" t="n">
        <f aca="false">IF($H16=1,MAX(0,MIN($G16,EOMONTH(M$5,0))-MAX($F16,M$5)+1)/DAY(EOMONTH(M$5,0)),0)</f>
        <v>1</v>
      </c>
      <c r="N16" s="39" t="n">
        <f aca="false">IF($H16=1,MAX(0,MIN($G16,EOMONTH(N$5,0))-MAX($F16,N$5)+1)/DAY(EOMONTH(N$5,0)),0)</f>
        <v>1</v>
      </c>
      <c r="O16" s="39" t="n">
        <f aca="false">IF($H16=1,MAX(0,MIN($G16,EOMONTH(O$5,0))-MAX($F16,O$5)+1)/DAY(EOMONTH(O$5,0)),0)</f>
        <v>0</v>
      </c>
      <c r="P16" s="39" t="n">
        <f aca="false">IF($H16=1,MAX(0,MIN($G16,EOMONTH(P$5,0))-MAX($F16,P$5)+1)/DAY(EOMONTH(P$5,0)),0)</f>
        <v>0</v>
      </c>
      <c r="Q16" s="39" t="n">
        <f aca="false">IF($H16=1,MAX(0,MIN($G16,EOMONTH(Q$5,0))-MAX($F16,Q$5)+1)/DAY(EOMONTH(Q$5,0)),0)</f>
        <v>0</v>
      </c>
      <c r="R16" s="39" t="n">
        <f aca="false">IF($H16=1,MAX(0,MIN($G16,EOMONTH(R$5,0))-MAX($F16,R$5)+1)/DAY(EOMONTH(R$5,0)),0)</f>
        <v>0</v>
      </c>
      <c r="S16" s="39" t="n">
        <f aca="false">IF($H16=1,MAX(0,MIN($G16,EOMONTH(S$5,0))-MAX($F16,S$5)+1)/DAY(EOMONTH(S$5,0)),0)</f>
        <v>0</v>
      </c>
      <c r="T16" s="39" t="n">
        <f aca="false">IF($H16=1,MAX(0,MIN($G16,EOMONTH(T$5,0))-MAX($F16,T$5)+1)/DAY(EOMONTH(T$5,0)),0)</f>
        <v>0</v>
      </c>
      <c r="U16" s="39" t="n">
        <f aca="false">IF($H16=1,MAX(0,MIN($G16,EOMONTH(U$5,0))-MAX($F16,U$5)+1)/DAY(EOMONTH(U$5,0)),0)</f>
        <v>0</v>
      </c>
      <c r="V16" s="39" t="n">
        <f aca="false">IF($H16=1,MAX(0,MIN($G16,EOMONTH(V$5,0))-MAX($F16,V$5)+1)/DAY(EOMONTH(V$5,0)),0)</f>
        <v>0</v>
      </c>
      <c r="W16" s="40" t="n">
        <f aca="false">$E16/12*K16*IF(AND($J16=1,W$5&gt;=Assumptions!$B$18),1+Assumptions!$B$17,1)</f>
        <v>12750</v>
      </c>
      <c r="X16" s="40" t="n">
        <f aca="false">$E16/12*L16*IF(AND($J16=1,X$5&gt;=Assumptions!$B$18),1+Assumptions!$B$17,1)</f>
        <v>12750</v>
      </c>
      <c r="Y16" s="40" t="n">
        <f aca="false">$E16/12*M16*IF(AND($J16=1,Y$5&gt;=Assumptions!$B$18),1+Assumptions!$B$17,1)</f>
        <v>12750</v>
      </c>
      <c r="Z16" s="40" t="n">
        <f aca="false">$E16/12*N16*IF(AND($J16=1,Z$5&gt;=Assumptions!$B$18),1+Assumptions!$B$17,1)</f>
        <v>13196.25</v>
      </c>
      <c r="AA16" s="40" t="n">
        <f aca="false">$E16/12*O16*IF(AND($J16=1,AA$5&gt;=Assumptions!$B$18),1+Assumptions!$B$17,1)</f>
        <v>0</v>
      </c>
      <c r="AB16" s="40" t="n">
        <f aca="false">$E16/12*P16*IF(AND($J16=1,AB$5&gt;=Assumptions!$B$18),1+Assumptions!$B$17,1)</f>
        <v>0</v>
      </c>
      <c r="AC16" s="40" t="n">
        <f aca="false">$E16/12*Q16*IF(AND($J16=1,AC$5&gt;=Assumptions!$B$18),1+Assumptions!$B$17,1)</f>
        <v>0</v>
      </c>
      <c r="AD16" s="40" t="n">
        <f aca="false">$E16/12*R16*IF(AND($J16=1,AD$5&gt;=Assumptions!$B$18),1+Assumptions!$B$17,1)</f>
        <v>0</v>
      </c>
      <c r="AE16" s="40" t="n">
        <f aca="false">$E16/12*S16*IF(AND($J16=1,AE$5&gt;=Assumptions!$B$18),1+Assumptions!$B$17,1)</f>
        <v>0</v>
      </c>
      <c r="AF16" s="40" t="n">
        <f aca="false">$E16/12*T16*IF(AND($J16=1,AF$5&gt;=Assumptions!$B$18),1+Assumptions!$B$17,1)</f>
        <v>0</v>
      </c>
      <c r="AG16" s="40" t="n">
        <f aca="false">$E16/12*U16*IF(AND($J16=1,AG$5&gt;=Assumptions!$B$18),1+Assumptions!$B$17,1)</f>
        <v>0</v>
      </c>
      <c r="AH16" s="40" t="n">
        <f aca="false">$E16/12*V16*IF(AND($J16=1,AH$5&gt;=Assumptions!$B$18),1+Assumptions!$B$17,1)</f>
        <v>0</v>
      </c>
    </row>
    <row r="17" customFormat="false" ht="15" hidden="false" customHeight="true" outlineLevel="0" collapsed="false">
      <c r="A17" s="13" t="str">
        <f aca="false">Roster!A17</f>
        <v>ENG-112</v>
      </c>
      <c r="B17" s="13" t="str">
        <f aca="false">Roster!B17</f>
        <v>Engineering</v>
      </c>
      <c r="C17" s="13" t="str">
        <f aca="false">Roster!E17</f>
        <v>Existing</v>
      </c>
      <c r="D17" s="34" t="n">
        <f aca="false">Roster!D17</f>
        <v>3</v>
      </c>
      <c r="E17" s="35" t="n">
        <f aca="false">Roster!F17</f>
        <v>141500</v>
      </c>
      <c r="F17" s="36" t="n">
        <f aca="false">IF(Roster!E17="Open role",MAX(Assumptions!$B$14,EDATE(Roster!G17,IF(Roster!I17=2,Assumptions!$F$10,0)-Assumptions!$F$9)),Roster!G17)</f>
        <v>44927</v>
      </c>
      <c r="G17" s="36" t="n">
        <f aca="false">IF(Roster!H17="",DATE(2099,12,31),Roster!H17)</f>
        <v>73050</v>
      </c>
      <c r="H17" s="37" t="n">
        <f aca="false">IF(Roster!E17="Existing",1,IF(Roster!I17&lt;=Assumptions!$F$8,1,0))</f>
        <v>1</v>
      </c>
      <c r="I17" s="38" t="n">
        <f aca="false">IF(B17="Sales",Assumptions!$B$23,VLOOKUP(D17,Assumptions!$A$27:$B$31,2,FALSE()))</f>
        <v>0.1</v>
      </c>
      <c r="J17" s="37" t="n">
        <f aca="false">IF(F17&lt;Assumptions!$B$14,1,0)</f>
        <v>1</v>
      </c>
      <c r="K17" s="39" t="n">
        <f aca="false">IF($H17=1,MAX(0,MIN($G17,EOMONTH(K$5,0))-MAX($F17,K$5)+1)/DAY(EOMONTH(K$5,0)),0)</f>
        <v>1</v>
      </c>
      <c r="L17" s="39" t="n">
        <f aca="false">IF($H17=1,MAX(0,MIN($G17,EOMONTH(L$5,0))-MAX($F17,L$5)+1)/DAY(EOMONTH(L$5,0)),0)</f>
        <v>1</v>
      </c>
      <c r="M17" s="39" t="n">
        <f aca="false">IF($H17=1,MAX(0,MIN($G17,EOMONTH(M$5,0))-MAX($F17,M$5)+1)/DAY(EOMONTH(M$5,0)),0)</f>
        <v>1</v>
      </c>
      <c r="N17" s="39" t="n">
        <f aca="false">IF($H17=1,MAX(0,MIN($G17,EOMONTH(N$5,0))-MAX($F17,N$5)+1)/DAY(EOMONTH(N$5,0)),0)</f>
        <v>1</v>
      </c>
      <c r="O17" s="39" t="n">
        <f aca="false">IF($H17=1,MAX(0,MIN($G17,EOMONTH(O$5,0))-MAX($F17,O$5)+1)/DAY(EOMONTH(O$5,0)),0)</f>
        <v>1</v>
      </c>
      <c r="P17" s="39" t="n">
        <f aca="false">IF($H17=1,MAX(0,MIN($G17,EOMONTH(P$5,0))-MAX($F17,P$5)+1)/DAY(EOMONTH(P$5,0)),0)</f>
        <v>1</v>
      </c>
      <c r="Q17" s="39" t="n">
        <f aca="false">IF($H17=1,MAX(0,MIN($G17,EOMONTH(Q$5,0))-MAX($F17,Q$5)+1)/DAY(EOMONTH(Q$5,0)),0)</f>
        <v>1</v>
      </c>
      <c r="R17" s="39" t="n">
        <f aca="false">IF($H17=1,MAX(0,MIN($G17,EOMONTH(R$5,0))-MAX($F17,R$5)+1)/DAY(EOMONTH(R$5,0)),0)</f>
        <v>1</v>
      </c>
      <c r="S17" s="39" t="n">
        <f aca="false">IF($H17=1,MAX(0,MIN($G17,EOMONTH(S$5,0))-MAX($F17,S$5)+1)/DAY(EOMONTH(S$5,0)),0)</f>
        <v>1</v>
      </c>
      <c r="T17" s="39" t="n">
        <f aca="false">IF($H17=1,MAX(0,MIN($G17,EOMONTH(T$5,0))-MAX($F17,T$5)+1)/DAY(EOMONTH(T$5,0)),0)</f>
        <v>1</v>
      </c>
      <c r="U17" s="39" t="n">
        <f aca="false">IF($H17=1,MAX(0,MIN($G17,EOMONTH(U$5,0))-MAX($F17,U$5)+1)/DAY(EOMONTH(U$5,0)),0)</f>
        <v>1</v>
      </c>
      <c r="V17" s="39" t="n">
        <f aca="false">IF($H17=1,MAX(0,MIN($G17,EOMONTH(V$5,0))-MAX($F17,V$5)+1)/DAY(EOMONTH(V$5,0)),0)</f>
        <v>1</v>
      </c>
      <c r="W17" s="40" t="n">
        <f aca="false">$E17/12*K17*IF(AND($J17=1,W$5&gt;=Assumptions!$B$18),1+Assumptions!$B$17,1)</f>
        <v>11791.6666666667</v>
      </c>
      <c r="X17" s="40" t="n">
        <f aca="false">$E17/12*L17*IF(AND($J17=1,X$5&gt;=Assumptions!$B$18),1+Assumptions!$B$17,1)</f>
        <v>11791.6666666667</v>
      </c>
      <c r="Y17" s="40" t="n">
        <f aca="false">$E17/12*M17*IF(AND($J17=1,Y$5&gt;=Assumptions!$B$18),1+Assumptions!$B$17,1)</f>
        <v>11791.6666666667</v>
      </c>
      <c r="Z17" s="40" t="n">
        <f aca="false">$E17/12*N17*IF(AND($J17=1,Z$5&gt;=Assumptions!$B$18),1+Assumptions!$B$17,1)</f>
        <v>12204.375</v>
      </c>
      <c r="AA17" s="40" t="n">
        <f aca="false">$E17/12*O17*IF(AND($J17=1,AA$5&gt;=Assumptions!$B$18),1+Assumptions!$B$17,1)</f>
        <v>12204.375</v>
      </c>
      <c r="AB17" s="40" t="n">
        <f aca="false">$E17/12*P17*IF(AND($J17=1,AB$5&gt;=Assumptions!$B$18),1+Assumptions!$B$17,1)</f>
        <v>12204.375</v>
      </c>
      <c r="AC17" s="40" t="n">
        <f aca="false">$E17/12*Q17*IF(AND($J17=1,AC$5&gt;=Assumptions!$B$18),1+Assumptions!$B$17,1)</f>
        <v>12204.375</v>
      </c>
      <c r="AD17" s="40" t="n">
        <f aca="false">$E17/12*R17*IF(AND($J17=1,AD$5&gt;=Assumptions!$B$18),1+Assumptions!$B$17,1)</f>
        <v>12204.375</v>
      </c>
      <c r="AE17" s="40" t="n">
        <f aca="false">$E17/12*S17*IF(AND($J17=1,AE$5&gt;=Assumptions!$B$18),1+Assumptions!$B$17,1)</f>
        <v>12204.375</v>
      </c>
      <c r="AF17" s="40" t="n">
        <f aca="false">$E17/12*T17*IF(AND($J17=1,AF$5&gt;=Assumptions!$B$18),1+Assumptions!$B$17,1)</f>
        <v>12204.375</v>
      </c>
      <c r="AG17" s="40" t="n">
        <f aca="false">$E17/12*U17*IF(AND($J17=1,AG$5&gt;=Assumptions!$B$18),1+Assumptions!$B$17,1)</f>
        <v>12204.375</v>
      </c>
      <c r="AH17" s="40" t="n">
        <f aca="false">$E17/12*V17*IF(AND($J17=1,AH$5&gt;=Assumptions!$B$18),1+Assumptions!$B$17,1)</f>
        <v>12204.375</v>
      </c>
    </row>
    <row r="18" customFormat="false" ht="15" hidden="false" customHeight="true" outlineLevel="0" collapsed="false">
      <c r="A18" s="13" t="str">
        <f aca="false">Roster!A18</f>
        <v>ENG-113</v>
      </c>
      <c r="B18" s="13" t="str">
        <f aca="false">Roster!B18</f>
        <v>Engineering</v>
      </c>
      <c r="C18" s="13" t="str">
        <f aca="false">Roster!E18</f>
        <v>Existing</v>
      </c>
      <c r="D18" s="34" t="n">
        <f aca="false">Roster!D18</f>
        <v>3</v>
      </c>
      <c r="E18" s="35" t="n">
        <f aca="false">Roster!F18</f>
        <v>148500</v>
      </c>
      <c r="F18" s="36" t="n">
        <f aca="false">IF(Roster!E18="Open role",MAX(Assumptions!$B$14,EDATE(Roster!G18,IF(Roster!I18=2,Assumptions!$F$10,0)-Assumptions!$F$9)),Roster!G18)</f>
        <v>46174</v>
      </c>
      <c r="G18" s="36" t="n">
        <f aca="false">IF(Roster!H18="",DATE(2099,12,31),Roster!H18)</f>
        <v>73050</v>
      </c>
      <c r="H18" s="37" t="n">
        <f aca="false">IF(Roster!E18="Existing",1,IF(Roster!I18&lt;=Assumptions!$F$8,1,0))</f>
        <v>1</v>
      </c>
      <c r="I18" s="38" t="n">
        <f aca="false">IF(B18="Sales",Assumptions!$B$23,VLOOKUP(D18,Assumptions!$A$27:$B$31,2,FALSE()))</f>
        <v>0.1</v>
      </c>
      <c r="J18" s="37" t="n">
        <f aca="false">IF(F18&lt;Assumptions!$B$14,1,0)</f>
        <v>1</v>
      </c>
      <c r="K18" s="39" t="n">
        <f aca="false">IF($H18=1,MAX(0,MIN($G18,EOMONTH(K$5,0))-MAX($F18,K$5)+1)/DAY(EOMONTH(K$5,0)),0)</f>
        <v>1</v>
      </c>
      <c r="L18" s="39" t="n">
        <f aca="false">IF($H18=1,MAX(0,MIN($G18,EOMONTH(L$5,0))-MAX($F18,L$5)+1)/DAY(EOMONTH(L$5,0)),0)</f>
        <v>1</v>
      </c>
      <c r="M18" s="39" t="n">
        <f aca="false">IF($H18=1,MAX(0,MIN($G18,EOMONTH(M$5,0))-MAX($F18,M$5)+1)/DAY(EOMONTH(M$5,0)),0)</f>
        <v>1</v>
      </c>
      <c r="N18" s="39" t="n">
        <f aca="false">IF($H18=1,MAX(0,MIN($G18,EOMONTH(N$5,0))-MAX($F18,N$5)+1)/DAY(EOMONTH(N$5,0)),0)</f>
        <v>1</v>
      </c>
      <c r="O18" s="39" t="n">
        <f aca="false">IF($H18=1,MAX(0,MIN($G18,EOMONTH(O$5,0))-MAX($F18,O$5)+1)/DAY(EOMONTH(O$5,0)),0)</f>
        <v>1</v>
      </c>
      <c r="P18" s="39" t="n">
        <f aca="false">IF($H18=1,MAX(0,MIN($G18,EOMONTH(P$5,0))-MAX($F18,P$5)+1)/DAY(EOMONTH(P$5,0)),0)</f>
        <v>1</v>
      </c>
      <c r="Q18" s="39" t="n">
        <f aca="false">IF($H18=1,MAX(0,MIN($G18,EOMONTH(Q$5,0))-MAX($F18,Q$5)+1)/DAY(EOMONTH(Q$5,0)),0)</f>
        <v>1</v>
      </c>
      <c r="R18" s="39" t="n">
        <f aca="false">IF($H18=1,MAX(0,MIN($G18,EOMONTH(R$5,0))-MAX($F18,R$5)+1)/DAY(EOMONTH(R$5,0)),0)</f>
        <v>1</v>
      </c>
      <c r="S18" s="39" t="n">
        <f aca="false">IF($H18=1,MAX(0,MIN($G18,EOMONTH(S$5,0))-MAX($F18,S$5)+1)/DAY(EOMONTH(S$5,0)),0)</f>
        <v>1</v>
      </c>
      <c r="T18" s="39" t="n">
        <f aca="false">IF($H18=1,MAX(0,MIN($G18,EOMONTH(T$5,0))-MAX($F18,T$5)+1)/DAY(EOMONTH(T$5,0)),0)</f>
        <v>1</v>
      </c>
      <c r="U18" s="39" t="n">
        <f aca="false">IF($H18=1,MAX(0,MIN($G18,EOMONTH(U$5,0))-MAX($F18,U$5)+1)/DAY(EOMONTH(U$5,0)),0)</f>
        <v>1</v>
      </c>
      <c r="V18" s="39" t="n">
        <f aca="false">IF($H18=1,MAX(0,MIN($G18,EOMONTH(V$5,0))-MAX($F18,V$5)+1)/DAY(EOMONTH(V$5,0)),0)</f>
        <v>1</v>
      </c>
      <c r="W18" s="40" t="n">
        <f aca="false">$E18/12*K18*IF(AND($J18=1,W$5&gt;=Assumptions!$B$18),1+Assumptions!$B$17,1)</f>
        <v>12375</v>
      </c>
      <c r="X18" s="40" t="n">
        <f aca="false">$E18/12*L18*IF(AND($J18=1,X$5&gt;=Assumptions!$B$18),1+Assumptions!$B$17,1)</f>
        <v>12375</v>
      </c>
      <c r="Y18" s="40" t="n">
        <f aca="false">$E18/12*M18*IF(AND($J18=1,Y$5&gt;=Assumptions!$B$18),1+Assumptions!$B$17,1)</f>
        <v>12375</v>
      </c>
      <c r="Z18" s="40" t="n">
        <f aca="false">$E18/12*N18*IF(AND($J18=1,Z$5&gt;=Assumptions!$B$18),1+Assumptions!$B$17,1)</f>
        <v>12808.125</v>
      </c>
      <c r="AA18" s="40" t="n">
        <f aca="false">$E18/12*O18*IF(AND($J18=1,AA$5&gt;=Assumptions!$B$18),1+Assumptions!$B$17,1)</f>
        <v>12808.125</v>
      </c>
      <c r="AB18" s="40" t="n">
        <f aca="false">$E18/12*P18*IF(AND($J18=1,AB$5&gt;=Assumptions!$B$18),1+Assumptions!$B$17,1)</f>
        <v>12808.125</v>
      </c>
      <c r="AC18" s="40" t="n">
        <f aca="false">$E18/12*Q18*IF(AND($J18=1,AC$5&gt;=Assumptions!$B$18),1+Assumptions!$B$17,1)</f>
        <v>12808.125</v>
      </c>
      <c r="AD18" s="40" t="n">
        <f aca="false">$E18/12*R18*IF(AND($J18=1,AD$5&gt;=Assumptions!$B$18),1+Assumptions!$B$17,1)</f>
        <v>12808.125</v>
      </c>
      <c r="AE18" s="40" t="n">
        <f aca="false">$E18/12*S18*IF(AND($J18=1,AE$5&gt;=Assumptions!$B$18),1+Assumptions!$B$17,1)</f>
        <v>12808.125</v>
      </c>
      <c r="AF18" s="40" t="n">
        <f aca="false">$E18/12*T18*IF(AND($J18=1,AF$5&gt;=Assumptions!$B$18),1+Assumptions!$B$17,1)</f>
        <v>12808.125</v>
      </c>
      <c r="AG18" s="40" t="n">
        <f aca="false">$E18/12*U18*IF(AND($J18=1,AG$5&gt;=Assumptions!$B$18),1+Assumptions!$B$17,1)</f>
        <v>12808.125</v>
      </c>
      <c r="AH18" s="40" t="n">
        <f aca="false">$E18/12*V18*IF(AND($J18=1,AH$5&gt;=Assumptions!$B$18),1+Assumptions!$B$17,1)</f>
        <v>12808.125</v>
      </c>
    </row>
    <row r="19" customFormat="false" ht="15" hidden="false" customHeight="true" outlineLevel="0" collapsed="false">
      <c r="A19" s="13" t="str">
        <f aca="false">Roster!A19</f>
        <v>ENG-114</v>
      </c>
      <c r="B19" s="13" t="str">
        <f aca="false">Roster!B19</f>
        <v>Engineering</v>
      </c>
      <c r="C19" s="13" t="str">
        <f aca="false">Roster!E19</f>
        <v>Existing</v>
      </c>
      <c r="D19" s="34" t="n">
        <f aca="false">Roster!D19</f>
        <v>3</v>
      </c>
      <c r="E19" s="35" t="n">
        <f aca="false">Roster!F19</f>
        <v>145500</v>
      </c>
      <c r="F19" s="36" t="n">
        <f aca="false">IF(Roster!E19="Open role",MAX(Assumptions!$B$14,EDATE(Roster!G19,IF(Roster!I19=2,Assumptions!$F$10,0)-Assumptions!$F$9)),Roster!G19)</f>
        <v>44501</v>
      </c>
      <c r="G19" s="36" t="n">
        <f aca="false">IF(Roster!H19="",DATE(2099,12,31),Roster!H19)</f>
        <v>73050</v>
      </c>
      <c r="H19" s="37" t="n">
        <f aca="false">IF(Roster!E19="Existing",1,IF(Roster!I19&lt;=Assumptions!$F$8,1,0))</f>
        <v>1</v>
      </c>
      <c r="I19" s="38" t="n">
        <f aca="false">IF(B19="Sales",Assumptions!$B$23,VLOOKUP(D19,Assumptions!$A$27:$B$31,2,FALSE()))</f>
        <v>0.1</v>
      </c>
      <c r="J19" s="37" t="n">
        <f aca="false">IF(F19&lt;Assumptions!$B$14,1,0)</f>
        <v>1</v>
      </c>
      <c r="K19" s="39" t="n">
        <f aca="false">IF($H19=1,MAX(0,MIN($G19,EOMONTH(K$5,0))-MAX($F19,K$5)+1)/DAY(EOMONTH(K$5,0)),0)</f>
        <v>1</v>
      </c>
      <c r="L19" s="39" t="n">
        <f aca="false">IF($H19=1,MAX(0,MIN($G19,EOMONTH(L$5,0))-MAX($F19,L$5)+1)/DAY(EOMONTH(L$5,0)),0)</f>
        <v>1</v>
      </c>
      <c r="M19" s="39" t="n">
        <f aca="false">IF($H19=1,MAX(0,MIN($G19,EOMONTH(M$5,0))-MAX($F19,M$5)+1)/DAY(EOMONTH(M$5,0)),0)</f>
        <v>1</v>
      </c>
      <c r="N19" s="39" t="n">
        <f aca="false">IF($H19=1,MAX(0,MIN($G19,EOMONTH(N$5,0))-MAX($F19,N$5)+1)/DAY(EOMONTH(N$5,0)),0)</f>
        <v>1</v>
      </c>
      <c r="O19" s="39" t="n">
        <f aca="false">IF($H19=1,MAX(0,MIN($G19,EOMONTH(O$5,0))-MAX($F19,O$5)+1)/DAY(EOMONTH(O$5,0)),0)</f>
        <v>1</v>
      </c>
      <c r="P19" s="39" t="n">
        <f aca="false">IF($H19=1,MAX(0,MIN($G19,EOMONTH(P$5,0))-MAX($F19,P$5)+1)/DAY(EOMONTH(P$5,0)),0)</f>
        <v>1</v>
      </c>
      <c r="Q19" s="39" t="n">
        <f aca="false">IF($H19=1,MAX(0,MIN($G19,EOMONTH(Q$5,0))-MAX($F19,Q$5)+1)/DAY(EOMONTH(Q$5,0)),0)</f>
        <v>1</v>
      </c>
      <c r="R19" s="39" t="n">
        <f aca="false">IF($H19=1,MAX(0,MIN($G19,EOMONTH(R$5,0))-MAX($F19,R$5)+1)/DAY(EOMONTH(R$5,0)),0)</f>
        <v>1</v>
      </c>
      <c r="S19" s="39" t="n">
        <f aca="false">IF($H19=1,MAX(0,MIN($G19,EOMONTH(S$5,0))-MAX($F19,S$5)+1)/DAY(EOMONTH(S$5,0)),0)</f>
        <v>1</v>
      </c>
      <c r="T19" s="39" t="n">
        <f aca="false">IF($H19=1,MAX(0,MIN($G19,EOMONTH(T$5,0))-MAX($F19,T$5)+1)/DAY(EOMONTH(T$5,0)),0)</f>
        <v>1</v>
      </c>
      <c r="U19" s="39" t="n">
        <f aca="false">IF($H19=1,MAX(0,MIN($G19,EOMONTH(U$5,0))-MAX($F19,U$5)+1)/DAY(EOMONTH(U$5,0)),0)</f>
        <v>1</v>
      </c>
      <c r="V19" s="39" t="n">
        <f aca="false">IF($H19=1,MAX(0,MIN($G19,EOMONTH(V$5,0))-MAX($F19,V$5)+1)/DAY(EOMONTH(V$5,0)),0)</f>
        <v>1</v>
      </c>
      <c r="W19" s="40" t="n">
        <f aca="false">$E19/12*K19*IF(AND($J19=1,W$5&gt;=Assumptions!$B$18),1+Assumptions!$B$17,1)</f>
        <v>12125</v>
      </c>
      <c r="X19" s="40" t="n">
        <f aca="false">$E19/12*L19*IF(AND($J19=1,X$5&gt;=Assumptions!$B$18),1+Assumptions!$B$17,1)</f>
        <v>12125</v>
      </c>
      <c r="Y19" s="40" t="n">
        <f aca="false">$E19/12*M19*IF(AND($J19=1,Y$5&gt;=Assumptions!$B$18),1+Assumptions!$B$17,1)</f>
        <v>12125</v>
      </c>
      <c r="Z19" s="40" t="n">
        <f aca="false">$E19/12*N19*IF(AND($J19=1,Z$5&gt;=Assumptions!$B$18),1+Assumptions!$B$17,1)</f>
        <v>12549.375</v>
      </c>
      <c r="AA19" s="40" t="n">
        <f aca="false">$E19/12*O19*IF(AND($J19=1,AA$5&gt;=Assumptions!$B$18),1+Assumptions!$B$17,1)</f>
        <v>12549.375</v>
      </c>
      <c r="AB19" s="40" t="n">
        <f aca="false">$E19/12*P19*IF(AND($J19=1,AB$5&gt;=Assumptions!$B$18),1+Assumptions!$B$17,1)</f>
        <v>12549.375</v>
      </c>
      <c r="AC19" s="40" t="n">
        <f aca="false">$E19/12*Q19*IF(AND($J19=1,AC$5&gt;=Assumptions!$B$18),1+Assumptions!$B$17,1)</f>
        <v>12549.375</v>
      </c>
      <c r="AD19" s="40" t="n">
        <f aca="false">$E19/12*R19*IF(AND($J19=1,AD$5&gt;=Assumptions!$B$18),1+Assumptions!$B$17,1)</f>
        <v>12549.375</v>
      </c>
      <c r="AE19" s="40" t="n">
        <f aca="false">$E19/12*S19*IF(AND($J19=1,AE$5&gt;=Assumptions!$B$18),1+Assumptions!$B$17,1)</f>
        <v>12549.375</v>
      </c>
      <c r="AF19" s="40" t="n">
        <f aca="false">$E19/12*T19*IF(AND($J19=1,AF$5&gt;=Assumptions!$B$18),1+Assumptions!$B$17,1)</f>
        <v>12549.375</v>
      </c>
      <c r="AG19" s="40" t="n">
        <f aca="false">$E19/12*U19*IF(AND($J19=1,AG$5&gt;=Assumptions!$B$18),1+Assumptions!$B$17,1)</f>
        <v>12549.375</v>
      </c>
      <c r="AH19" s="40" t="n">
        <f aca="false">$E19/12*V19*IF(AND($J19=1,AH$5&gt;=Assumptions!$B$18),1+Assumptions!$B$17,1)</f>
        <v>12549.375</v>
      </c>
    </row>
    <row r="20" customFormat="false" ht="15" hidden="false" customHeight="true" outlineLevel="0" collapsed="false">
      <c r="A20" s="13" t="str">
        <f aca="false">Roster!A20</f>
        <v>ENG-115</v>
      </c>
      <c r="B20" s="13" t="str">
        <f aca="false">Roster!B20</f>
        <v>Engineering</v>
      </c>
      <c r="C20" s="13" t="str">
        <f aca="false">Roster!E20</f>
        <v>Existing</v>
      </c>
      <c r="D20" s="34" t="n">
        <f aca="false">Roster!D20</f>
        <v>3</v>
      </c>
      <c r="E20" s="35" t="n">
        <f aca="false">Roster!F20</f>
        <v>151500</v>
      </c>
      <c r="F20" s="36" t="n">
        <f aca="false">IF(Roster!E20="Open role",MAX(Assumptions!$B$14,EDATE(Roster!G20,IF(Roster!I20=2,Assumptions!$F$10,0)-Assumptions!$F$9)),Roster!G20)</f>
        <v>45383</v>
      </c>
      <c r="G20" s="36" t="n">
        <f aca="false">IF(Roster!H20="",DATE(2099,12,31),Roster!H20)</f>
        <v>73050</v>
      </c>
      <c r="H20" s="37" t="n">
        <f aca="false">IF(Roster!E20="Existing",1,IF(Roster!I20&lt;=Assumptions!$F$8,1,0))</f>
        <v>1</v>
      </c>
      <c r="I20" s="38" t="n">
        <f aca="false">IF(B20="Sales",Assumptions!$B$23,VLOOKUP(D20,Assumptions!$A$27:$B$31,2,FALSE()))</f>
        <v>0.1</v>
      </c>
      <c r="J20" s="37" t="n">
        <f aca="false">IF(F20&lt;Assumptions!$B$14,1,0)</f>
        <v>1</v>
      </c>
      <c r="K20" s="39" t="n">
        <f aca="false">IF($H20=1,MAX(0,MIN($G20,EOMONTH(K$5,0))-MAX($F20,K$5)+1)/DAY(EOMONTH(K$5,0)),0)</f>
        <v>1</v>
      </c>
      <c r="L20" s="39" t="n">
        <f aca="false">IF($H20=1,MAX(0,MIN($G20,EOMONTH(L$5,0))-MAX($F20,L$5)+1)/DAY(EOMONTH(L$5,0)),0)</f>
        <v>1</v>
      </c>
      <c r="M20" s="39" t="n">
        <f aca="false">IF($H20=1,MAX(0,MIN($G20,EOMONTH(M$5,0))-MAX($F20,M$5)+1)/DAY(EOMONTH(M$5,0)),0)</f>
        <v>1</v>
      </c>
      <c r="N20" s="39" t="n">
        <f aca="false">IF($H20=1,MAX(0,MIN($G20,EOMONTH(N$5,0))-MAX($F20,N$5)+1)/DAY(EOMONTH(N$5,0)),0)</f>
        <v>1</v>
      </c>
      <c r="O20" s="39" t="n">
        <f aca="false">IF($H20=1,MAX(0,MIN($G20,EOMONTH(O$5,0))-MAX($F20,O$5)+1)/DAY(EOMONTH(O$5,0)),0)</f>
        <v>1</v>
      </c>
      <c r="P20" s="39" t="n">
        <f aca="false">IF($H20=1,MAX(0,MIN($G20,EOMONTH(P$5,0))-MAX($F20,P$5)+1)/DAY(EOMONTH(P$5,0)),0)</f>
        <v>1</v>
      </c>
      <c r="Q20" s="39" t="n">
        <f aca="false">IF($H20=1,MAX(0,MIN($G20,EOMONTH(Q$5,0))-MAX($F20,Q$5)+1)/DAY(EOMONTH(Q$5,0)),0)</f>
        <v>1</v>
      </c>
      <c r="R20" s="39" t="n">
        <f aca="false">IF($H20=1,MAX(0,MIN($G20,EOMONTH(R$5,0))-MAX($F20,R$5)+1)/DAY(EOMONTH(R$5,0)),0)</f>
        <v>1</v>
      </c>
      <c r="S20" s="39" t="n">
        <f aca="false">IF($H20=1,MAX(0,MIN($G20,EOMONTH(S$5,0))-MAX($F20,S$5)+1)/DAY(EOMONTH(S$5,0)),0)</f>
        <v>1</v>
      </c>
      <c r="T20" s="39" t="n">
        <f aca="false">IF($H20=1,MAX(0,MIN($G20,EOMONTH(T$5,0))-MAX($F20,T$5)+1)/DAY(EOMONTH(T$5,0)),0)</f>
        <v>1</v>
      </c>
      <c r="U20" s="39" t="n">
        <f aca="false">IF($H20=1,MAX(0,MIN($G20,EOMONTH(U$5,0))-MAX($F20,U$5)+1)/DAY(EOMONTH(U$5,0)),0)</f>
        <v>1</v>
      </c>
      <c r="V20" s="39" t="n">
        <f aca="false">IF($H20=1,MAX(0,MIN($G20,EOMONTH(V$5,0))-MAX($F20,V$5)+1)/DAY(EOMONTH(V$5,0)),0)</f>
        <v>1</v>
      </c>
      <c r="W20" s="40" t="n">
        <f aca="false">$E20/12*K20*IF(AND($J20=1,W$5&gt;=Assumptions!$B$18),1+Assumptions!$B$17,1)</f>
        <v>12625</v>
      </c>
      <c r="X20" s="40" t="n">
        <f aca="false">$E20/12*L20*IF(AND($J20=1,X$5&gt;=Assumptions!$B$18),1+Assumptions!$B$17,1)</f>
        <v>12625</v>
      </c>
      <c r="Y20" s="40" t="n">
        <f aca="false">$E20/12*M20*IF(AND($J20=1,Y$5&gt;=Assumptions!$B$18),1+Assumptions!$B$17,1)</f>
        <v>12625</v>
      </c>
      <c r="Z20" s="40" t="n">
        <f aca="false">$E20/12*N20*IF(AND($J20=1,Z$5&gt;=Assumptions!$B$18),1+Assumptions!$B$17,1)</f>
        <v>13066.875</v>
      </c>
      <c r="AA20" s="40" t="n">
        <f aca="false">$E20/12*O20*IF(AND($J20=1,AA$5&gt;=Assumptions!$B$18),1+Assumptions!$B$17,1)</f>
        <v>13066.875</v>
      </c>
      <c r="AB20" s="40" t="n">
        <f aca="false">$E20/12*P20*IF(AND($J20=1,AB$5&gt;=Assumptions!$B$18),1+Assumptions!$B$17,1)</f>
        <v>13066.875</v>
      </c>
      <c r="AC20" s="40" t="n">
        <f aca="false">$E20/12*Q20*IF(AND($J20=1,AC$5&gt;=Assumptions!$B$18),1+Assumptions!$B$17,1)</f>
        <v>13066.875</v>
      </c>
      <c r="AD20" s="40" t="n">
        <f aca="false">$E20/12*R20*IF(AND($J20=1,AD$5&gt;=Assumptions!$B$18),1+Assumptions!$B$17,1)</f>
        <v>13066.875</v>
      </c>
      <c r="AE20" s="40" t="n">
        <f aca="false">$E20/12*S20*IF(AND($J20=1,AE$5&gt;=Assumptions!$B$18),1+Assumptions!$B$17,1)</f>
        <v>13066.875</v>
      </c>
      <c r="AF20" s="40" t="n">
        <f aca="false">$E20/12*T20*IF(AND($J20=1,AF$5&gt;=Assumptions!$B$18),1+Assumptions!$B$17,1)</f>
        <v>13066.875</v>
      </c>
      <c r="AG20" s="40" t="n">
        <f aca="false">$E20/12*U20*IF(AND($J20=1,AG$5&gt;=Assumptions!$B$18),1+Assumptions!$B$17,1)</f>
        <v>13066.875</v>
      </c>
      <c r="AH20" s="40" t="n">
        <f aca="false">$E20/12*V20*IF(AND($J20=1,AH$5&gt;=Assumptions!$B$18),1+Assumptions!$B$17,1)</f>
        <v>13066.875</v>
      </c>
    </row>
    <row r="21" customFormat="false" ht="15" hidden="false" customHeight="true" outlineLevel="0" collapsed="false">
      <c r="A21" s="13" t="str">
        <f aca="false">Roster!A21</f>
        <v>ENG-116</v>
      </c>
      <c r="B21" s="13" t="str">
        <f aca="false">Roster!B21</f>
        <v>Engineering</v>
      </c>
      <c r="C21" s="13" t="str">
        <f aca="false">Roster!E21</f>
        <v>Existing</v>
      </c>
      <c r="D21" s="34" t="n">
        <f aca="false">Roster!D21</f>
        <v>3</v>
      </c>
      <c r="E21" s="35" t="n">
        <f aca="false">Roster!F21</f>
        <v>147000</v>
      </c>
      <c r="F21" s="36" t="n">
        <f aca="false">IF(Roster!E21="Open role",MAX(Assumptions!$B$14,EDATE(Roster!G21,IF(Roster!I21=2,Assumptions!$F$10,0)-Assumptions!$F$9)),Roster!G21)</f>
        <v>43709</v>
      </c>
      <c r="G21" s="36" t="n">
        <f aca="false">IF(Roster!H21="",DATE(2099,12,31),Roster!H21)</f>
        <v>73050</v>
      </c>
      <c r="H21" s="37" t="n">
        <f aca="false">IF(Roster!E21="Existing",1,IF(Roster!I21&lt;=Assumptions!$F$8,1,0))</f>
        <v>1</v>
      </c>
      <c r="I21" s="38" t="n">
        <f aca="false">IF(B21="Sales",Assumptions!$B$23,VLOOKUP(D21,Assumptions!$A$27:$B$31,2,FALSE()))</f>
        <v>0.1</v>
      </c>
      <c r="J21" s="37" t="n">
        <f aca="false">IF(F21&lt;Assumptions!$B$14,1,0)</f>
        <v>1</v>
      </c>
      <c r="K21" s="39" t="n">
        <f aca="false">IF($H21=1,MAX(0,MIN($G21,EOMONTH(K$5,0))-MAX($F21,K$5)+1)/DAY(EOMONTH(K$5,0)),0)</f>
        <v>1</v>
      </c>
      <c r="L21" s="39" t="n">
        <f aca="false">IF($H21=1,MAX(0,MIN($G21,EOMONTH(L$5,0))-MAX($F21,L$5)+1)/DAY(EOMONTH(L$5,0)),0)</f>
        <v>1</v>
      </c>
      <c r="M21" s="39" t="n">
        <f aca="false">IF($H21=1,MAX(0,MIN($G21,EOMONTH(M$5,0))-MAX($F21,M$5)+1)/DAY(EOMONTH(M$5,0)),0)</f>
        <v>1</v>
      </c>
      <c r="N21" s="39" t="n">
        <f aca="false">IF($H21=1,MAX(0,MIN($G21,EOMONTH(N$5,0))-MAX($F21,N$5)+1)/DAY(EOMONTH(N$5,0)),0)</f>
        <v>1</v>
      </c>
      <c r="O21" s="39" t="n">
        <f aca="false">IF($H21=1,MAX(0,MIN($G21,EOMONTH(O$5,0))-MAX($F21,O$5)+1)/DAY(EOMONTH(O$5,0)),0)</f>
        <v>1</v>
      </c>
      <c r="P21" s="39" t="n">
        <f aca="false">IF($H21=1,MAX(0,MIN($G21,EOMONTH(P$5,0))-MAX($F21,P$5)+1)/DAY(EOMONTH(P$5,0)),0)</f>
        <v>1</v>
      </c>
      <c r="Q21" s="39" t="n">
        <f aca="false">IF($H21=1,MAX(0,MIN($G21,EOMONTH(Q$5,0))-MAX($F21,Q$5)+1)/DAY(EOMONTH(Q$5,0)),0)</f>
        <v>1</v>
      </c>
      <c r="R21" s="39" t="n">
        <f aca="false">IF($H21=1,MAX(0,MIN($G21,EOMONTH(R$5,0))-MAX($F21,R$5)+1)/DAY(EOMONTH(R$5,0)),0)</f>
        <v>1</v>
      </c>
      <c r="S21" s="39" t="n">
        <f aca="false">IF($H21=1,MAX(0,MIN($G21,EOMONTH(S$5,0))-MAX($F21,S$5)+1)/DAY(EOMONTH(S$5,0)),0)</f>
        <v>1</v>
      </c>
      <c r="T21" s="39" t="n">
        <f aca="false">IF($H21=1,MAX(0,MIN($G21,EOMONTH(T$5,0))-MAX($F21,T$5)+1)/DAY(EOMONTH(T$5,0)),0)</f>
        <v>1</v>
      </c>
      <c r="U21" s="39" t="n">
        <f aca="false">IF($H21=1,MAX(0,MIN($G21,EOMONTH(U$5,0))-MAX($F21,U$5)+1)/DAY(EOMONTH(U$5,0)),0)</f>
        <v>1</v>
      </c>
      <c r="V21" s="39" t="n">
        <f aca="false">IF($H21=1,MAX(0,MIN($G21,EOMONTH(V$5,0))-MAX($F21,V$5)+1)/DAY(EOMONTH(V$5,0)),0)</f>
        <v>1</v>
      </c>
      <c r="W21" s="40" t="n">
        <f aca="false">$E21/12*K21*IF(AND($J21=1,W$5&gt;=Assumptions!$B$18),1+Assumptions!$B$17,1)</f>
        <v>12250</v>
      </c>
      <c r="X21" s="40" t="n">
        <f aca="false">$E21/12*L21*IF(AND($J21=1,X$5&gt;=Assumptions!$B$18),1+Assumptions!$B$17,1)</f>
        <v>12250</v>
      </c>
      <c r="Y21" s="40" t="n">
        <f aca="false">$E21/12*M21*IF(AND($J21=1,Y$5&gt;=Assumptions!$B$18),1+Assumptions!$B$17,1)</f>
        <v>12250</v>
      </c>
      <c r="Z21" s="40" t="n">
        <f aca="false">$E21/12*N21*IF(AND($J21=1,Z$5&gt;=Assumptions!$B$18),1+Assumptions!$B$17,1)</f>
        <v>12678.75</v>
      </c>
      <c r="AA21" s="40" t="n">
        <f aca="false">$E21/12*O21*IF(AND($J21=1,AA$5&gt;=Assumptions!$B$18),1+Assumptions!$B$17,1)</f>
        <v>12678.75</v>
      </c>
      <c r="AB21" s="40" t="n">
        <f aca="false">$E21/12*P21*IF(AND($J21=1,AB$5&gt;=Assumptions!$B$18),1+Assumptions!$B$17,1)</f>
        <v>12678.75</v>
      </c>
      <c r="AC21" s="40" t="n">
        <f aca="false">$E21/12*Q21*IF(AND($J21=1,AC$5&gt;=Assumptions!$B$18),1+Assumptions!$B$17,1)</f>
        <v>12678.75</v>
      </c>
      <c r="AD21" s="40" t="n">
        <f aca="false">$E21/12*R21*IF(AND($J21=1,AD$5&gt;=Assumptions!$B$18),1+Assumptions!$B$17,1)</f>
        <v>12678.75</v>
      </c>
      <c r="AE21" s="40" t="n">
        <f aca="false">$E21/12*S21*IF(AND($J21=1,AE$5&gt;=Assumptions!$B$18),1+Assumptions!$B$17,1)</f>
        <v>12678.75</v>
      </c>
      <c r="AF21" s="40" t="n">
        <f aca="false">$E21/12*T21*IF(AND($J21=1,AF$5&gt;=Assumptions!$B$18),1+Assumptions!$B$17,1)</f>
        <v>12678.75</v>
      </c>
      <c r="AG21" s="40" t="n">
        <f aca="false">$E21/12*U21*IF(AND($J21=1,AG$5&gt;=Assumptions!$B$18),1+Assumptions!$B$17,1)</f>
        <v>12678.75</v>
      </c>
      <c r="AH21" s="40" t="n">
        <f aca="false">$E21/12*V21*IF(AND($J21=1,AH$5&gt;=Assumptions!$B$18),1+Assumptions!$B$17,1)</f>
        <v>12678.75</v>
      </c>
    </row>
    <row r="22" customFormat="false" ht="15" hidden="false" customHeight="true" outlineLevel="0" collapsed="false">
      <c r="A22" s="13" t="str">
        <f aca="false">Roster!A22</f>
        <v>ENG-117</v>
      </c>
      <c r="B22" s="13" t="str">
        <f aca="false">Roster!B22</f>
        <v>Engineering</v>
      </c>
      <c r="C22" s="13" t="str">
        <f aca="false">Roster!E22</f>
        <v>Existing</v>
      </c>
      <c r="D22" s="34" t="n">
        <f aca="false">Roster!D22</f>
        <v>4</v>
      </c>
      <c r="E22" s="35" t="n">
        <f aca="false">Roster!F22</f>
        <v>193500</v>
      </c>
      <c r="F22" s="36" t="n">
        <f aca="false">IF(Roster!E22="Open role",MAX(Assumptions!$B$14,EDATE(Roster!G22,IF(Roster!I22=2,Assumptions!$F$10,0)-Assumptions!$F$9)),Roster!G22)</f>
        <v>44593</v>
      </c>
      <c r="G22" s="36" t="n">
        <f aca="false">IF(Roster!H22="",DATE(2099,12,31),Roster!H22)</f>
        <v>73050</v>
      </c>
      <c r="H22" s="37" t="n">
        <f aca="false">IF(Roster!E22="Existing",1,IF(Roster!I22&lt;=Assumptions!$F$8,1,0))</f>
        <v>1</v>
      </c>
      <c r="I22" s="38" t="n">
        <f aca="false">IF(B22="Sales",Assumptions!$B$23,VLOOKUP(D22,Assumptions!$A$27:$B$31,2,FALSE()))</f>
        <v>0.15</v>
      </c>
      <c r="J22" s="37" t="n">
        <f aca="false">IF(F22&lt;Assumptions!$B$14,1,0)</f>
        <v>1</v>
      </c>
      <c r="K22" s="39" t="n">
        <f aca="false">IF($H22=1,MAX(0,MIN($G22,EOMONTH(K$5,0))-MAX($F22,K$5)+1)/DAY(EOMONTH(K$5,0)),0)</f>
        <v>1</v>
      </c>
      <c r="L22" s="39" t="n">
        <f aca="false">IF($H22=1,MAX(0,MIN($G22,EOMONTH(L$5,0))-MAX($F22,L$5)+1)/DAY(EOMONTH(L$5,0)),0)</f>
        <v>1</v>
      </c>
      <c r="M22" s="39" t="n">
        <f aca="false">IF($H22=1,MAX(0,MIN($G22,EOMONTH(M$5,0))-MAX($F22,M$5)+1)/DAY(EOMONTH(M$5,0)),0)</f>
        <v>1</v>
      </c>
      <c r="N22" s="39" t="n">
        <f aca="false">IF($H22=1,MAX(0,MIN($G22,EOMONTH(N$5,0))-MAX($F22,N$5)+1)/DAY(EOMONTH(N$5,0)),0)</f>
        <v>1</v>
      </c>
      <c r="O22" s="39" t="n">
        <f aca="false">IF($H22=1,MAX(0,MIN($G22,EOMONTH(O$5,0))-MAX($F22,O$5)+1)/DAY(EOMONTH(O$5,0)),0)</f>
        <v>1</v>
      </c>
      <c r="P22" s="39" t="n">
        <f aca="false">IF($H22=1,MAX(0,MIN($G22,EOMONTH(P$5,0))-MAX($F22,P$5)+1)/DAY(EOMONTH(P$5,0)),0)</f>
        <v>1</v>
      </c>
      <c r="Q22" s="39" t="n">
        <f aca="false">IF($H22=1,MAX(0,MIN($G22,EOMONTH(Q$5,0))-MAX($F22,Q$5)+1)/DAY(EOMONTH(Q$5,0)),0)</f>
        <v>1</v>
      </c>
      <c r="R22" s="39" t="n">
        <f aca="false">IF($H22=1,MAX(0,MIN($G22,EOMONTH(R$5,0))-MAX($F22,R$5)+1)/DAY(EOMONTH(R$5,0)),0)</f>
        <v>1</v>
      </c>
      <c r="S22" s="39" t="n">
        <f aca="false">IF($H22=1,MAX(0,MIN($G22,EOMONTH(S$5,0))-MAX($F22,S$5)+1)/DAY(EOMONTH(S$5,0)),0)</f>
        <v>1</v>
      </c>
      <c r="T22" s="39" t="n">
        <f aca="false">IF($H22=1,MAX(0,MIN($G22,EOMONTH(T$5,0))-MAX($F22,T$5)+1)/DAY(EOMONTH(T$5,0)),0)</f>
        <v>1</v>
      </c>
      <c r="U22" s="39" t="n">
        <f aca="false">IF($H22=1,MAX(0,MIN($G22,EOMONTH(U$5,0))-MAX($F22,U$5)+1)/DAY(EOMONTH(U$5,0)),0)</f>
        <v>1</v>
      </c>
      <c r="V22" s="39" t="n">
        <f aca="false">IF($H22=1,MAX(0,MIN($G22,EOMONTH(V$5,0))-MAX($F22,V$5)+1)/DAY(EOMONTH(V$5,0)),0)</f>
        <v>1</v>
      </c>
      <c r="W22" s="40" t="n">
        <f aca="false">$E22/12*K22*IF(AND($J22=1,W$5&gt;=Assumptions!$B$18),1+Assumptions!$B$17,1)</f>
        <v>16125</v>
      </c>
      <c r="X22" s="40" t="n">
        <f aca="false">$E22/12*L22*IF(AND($J22=1,X$5&gt;=Assumptions!$B$18),1+Assumptions!$B$17,1)</f>
        <v>16125</v>
      </c>
      <c r="Y22" s="40" t="n">
        <f aca="false">$E22/12*M22*IF(AND($J22=1,Y$5&gt;=Assumptions!$B$18),1+Assumptions!$B$17,1)</f>
        <v>16125</v>
      </c>
      <c r="Z22" s="40" t="n">
        <f aca="false">$E22/12*N22*IF(AND($J22=1,Z$5&gt;=Assumptions!$B$18),1+Assumptions!$B$17,1)</f>
        <v>16689.375</v>
      </c>
      <c r="AA22" s="40" t="n">
        <f aca="false">$E22/12*O22*IF(AND($J22=1,AA$5&gt;=Assumptions!$B$18),1+Assumptions!$B$17,1)</f>
        <v>16689.375</v>
      </c>
      <c r="AB22" s="40" t="n">
        <f aca="false">$E22/12*P22*IF(AND($J22=1,AB$5&gt;=Assumptions!$B$18),1+Assumptions!$B$17,1)</f>
        <v>16689.375</v>
      </c>
      <c r="AC22" s="40" t="n">
        <f aca="false">$E22/12*Q22*IF(AND($J22=1,AC$5&gt;=Assumptions!$B$18),1+Assumptions!$B$17,1)</f>
        <v>16689.375</v>
      </c>
      <c r="AD22" s="40" t="n">
        <f aca="false">$E22/12*R22*IF(AND($J22=1,AD$5&gt;=Assumptions!$B$18),1+Assumptions!$B$17,1)</f>
        <v>16689.375</v>
      </c>
      <c r="AE22" s="40" t="n">
        <f aca="false">$E22/12*S22*IF(AND($J22=1,AE$5&gt;=Assumptions!$B$18),1+Assumptions!$B$17,1)</f>
        <v>16689.375</v>
      </c>
      <c r="AF22" s="40" t="n">
        <f aca="false">$E22/12*T22*IF(AND($J22=1,AF$5&gt;=Assumptions!$B$18),1+Assumptions!$B$17,1)</f>
        <v>16689.375</v>
      </c>
      <c r="AG22" s="40" t="n">
        <f aca="false">$E22/12*U22*IF(AND($J22=1,AG$5&gt;=Assumptions!$B$18),1+Assumptions!$B$17,1)</f>
        <v>16689.375</v>
      </c>
      <c r="AH22" s="40" t="n">
        <f aca="false">$E22/12*V22*IF(AND($J22=1,AH$5&gt;=Assumptions!$B$18),1+Assumptions!$B$17,1)</f>
        <v>16689.375</v>
      </c>
    </row>
    <row r="23" customFormat="false" ht="15" hidden="false" customHeight="true" outlineLevel="0" collapsed="false">
      <c r="A23" s="13" t="str">
        <f aca="false">Roster!A23</f>
        <v>ENG-118</v>
      </c>
      <c r="B23" s="13" t="str">
        <f aca="false">Roster!B23</f>
        <v>Engineering</v>
      </c>
      <c r="C23" s="13" t="str">
        <f aca="false">Roster!E23</f>
        <v>Existing</v>
      </c>
      <c r="D23" s="34" t="n">
        <f aca="false">Roster!D23</f>
        <v>4</v>
      </c>
      <c r="E23" s="35" t="n">
        <f aca="false">Roster!F23</f>
        <v>186000</v>
      </c>
      <c r="F23" s="36" t="n">
        <f aca="false">IF(Roster!E23="Open role",MAX(Assumptions!$B$14,EDATE(Roster!G23,IF(Roster!I23=2,Assumptions!$F$10,0)-Assumptions!$F$9)),Roster!G23)</f>
        <v>45839</v>
      </c>
      <c r="G23" s="36" t="n">
        <f aca="false">IF(Roster!H23="",DATE(2099,12,31),Roster!H23)</f>
        <v>73050</v>
      </c>
      <c r="H23" s="37" t="n">
        <f aca="false">IF(Roster!E23="Existing",1,IF(Roster!I23&lt;=Assumptions!$F$8,1,0))</f>
        <v>1</v>
      </c>
      <c r="I23" s="38" t="n">
        <f aca="false">IF(B23="Sales",Assumptions!$B$23,VLOOKUP(D23,Assumptions!$A$27:$B$31,2,FALSE()))</f>
        <v>0.15</v>
      </c>
      <c r="J23" s="37" t="n">
        <f aca="false">IF(F23&lt;Assumptions!$B$14,1,0)</f>
        <v>1</v>
      </c>
      <c r="K23" s="39" t="n">
        <f aca="false">IF($H23=1,MAX(0,MIN($G23,EOMONTH(K$5,0))-MAX($F23,K$5)+1)/DAY(EOMONTH(K$5,0)),0)</f>
        <v>1</v>
      </c>
      <c r="L23" s="39" t="n">
        <f aca="false">IF($H23=1,MAX(0,MIN($G23,EOMONTH(L$5,0))-MAX($F23,L$5)+1)/DAY(EOMONTH(L$5,0)),0)</f>
        <v>1</v>
      </c>
      <c r="M23" s="39" t="n">
        <f aca="false">IF($H23=1,MAX(0,MIN($G23,EOMONTH(M$5,0))-MAX($F23,M$5)+1)/DAY(EOMONTH(M$5,0)),0)</f>
        <v>1</v>
      </c>
      <c r="N23" s="39" t="n">
        <f aca="false">IF($H23=1,MAX(0,MIN($G23,EOMONTH(N$5,0))-MAX($F23,N$5)+1)/DAY(EOMONTH(N$5,0)),0)</f>
        <v>1</v>
      </c>
      <c r="O23" s="39" t="n">
        <f aca="false">IF($H23=1,MAX(0,MIN($G23,EOMONTH(O$5,0))-MAX($F23,O$5)+1)/DAY(EOMONTH(O$5,0)),0)</f>
        <v>1</v>
      </c>
      <c r="P23" s="39" t="n">
        <f aca="false">IF($H23=1,MAX(0,MIN($G23,EOMONTH(P$5,0))-MAX($F23,P$5)+1)/DAY(EOMONTH(P$5,0)),0)</f>
        <v>1</v>
      </c>
      <c r="Q23" s="39" t="n">
        <f aca="false">IF($H23=1,MAX(0,MIN($G23,EOMONTH(Q$5,0))-MAX($F23,Q$5)+1)/DAY(EOMONTH(Q$5,0)),0)</f>
        <v>1</v>
      </c>
      <c r="R23" s="39" t="n">
        <f aca="false">IF($H23=1,MAX(0,MIN($G23,EOMONTH(R$5,0))-MAX($F23,R$5)+1)/DAY(EOMONTH(R$5,0)),0)</f>
        <v>1</v>
      </c>
      <c r="S23" s="39" t="n">
        <f aca="false">IF($H23=1,MAX(0,MIN($G23,EOMONTH(S$5,0))-MAX($F23,S$5)+1)/DAY(EOMONTH(S$5,0)),0)</f>
        <v>1</v>
      </c>
      <c r="T23" s="39" t="n">
        <f aca="false">IF($H23=1,MAX(0,MIN($G23,EOMONTH(T$5,0))-MAX($F23,T$5)+1)/DAY(EOMONTH(T$5,0)),0)</f>
        <v>1</v>
      </c>
      <c r="U23" s="39" t="n">
        <f aca="false">IF($H23=1,MAX(0,MIN($G23,EOMONTH(U$5,0))-MAX($F23,U$5)+1)/DAY(EOMONTH(U$5,0)),0)</f>
        <v>1</v>
      </c>
      <c r="V23" s="39" t="n">
        <f aca="false">IF($H23=1,MAX(0,MIN($G23,EOMONTH(V$5,0))-MAX($F23,V$5)+1)/DAY(EOMONTH(V$5,0)),0)</f>
        <v>1</v>
      </c>
      <c r="W23" s="40" t="n">
        <f aca="false">$E23/12*K23*IF(AND($J23=1,W$5&gt;=Assumptions!$B$18),1+Assumptions!$B$17,1)</f>
        <v>15500</v>
      </c>
      <c r="X23" s="40" t="n">
        <f aca="false">$E23/12*L23*IF(AND($J23=1,X$5&gt;=Assumptions!$B$18),1+Assumptions!$B$17,1)</f>
        <v>15500</v>
      </c>
      <c r="Y23" s="40" t="n">
        <f aca="false">$E23/12*M23*IF(AND($J23=1,Y$5&gt;=Assumptions!$B$18),1+Assumptions!$B$17,1)</f>
        <v>15500</v>
      </c>
      <c r="Z23" s="40" t="n">
        <f aca="false">$E23/12*N23*IF(AND($J23=1,Z$5&gt;=Assumptions!$B$18),1+Assumptions!$B$17,1)</f>
        <v>16042.5</v>
      </c>
      <c r="AA23" s="40" t="n">
        <f aca="false">$E23/12*O23*IF(AND($J23=1,AA$5&gt;=Assumptions!$B$18),1+Assumptions!$B$17,1)</f>
        <v>16042.5</v>
      </c>
      <c r="AB23" s="40" t="n">
        <f aca="false">$E23/12*P23*IF(AND($J23=1,AB$5&gt;=Assumptions!$B$18),1+Assumptions!$B$17,1)</f>
        <v>16042.5</v>
      </c>
      <c r="AC23" s="40" t="n">
        <f aca="false">$E23/12*Q23*IF(AND($J23=1,AC$5&gt;=Assumptions!$B$18),1+Assumptions!$B$17,1)</f>
        <v>16042.5</v>
      </c>
      <c r="AD23" s="40" t="n">
        <f aca="false">$E23/12*R23*IF(AND($J23=1,AD$5&gt;=Assumptions!$B$18),1+Assumptions!$B$17,1)</f>
        <v>16042.5</v>
      </c>
      <c r="AE23" s="40" t="n">
        <f aca="false">$E23/12*S23*IF(AND($J23=1,AE$5&gt;=Assumptions!$B$18),1+Assumptions!$B$17,1)</f>
        <v>16042.5</v>
      </c>
      <c r="AF23" s="40" t="n">
        <f aca="false">$E23/12*T23*IF(AND($J23=1,AF$5&gt;=Assumptions!$B$18),1+Assumptions!$B$17,1)</f>
        <v>16042.5</v>
      </c>
      <c r="AG23" s="40" t="n">
        <f aca="false">$E23/12*U23*IF(AND($J23=1,AG$5&gt;=Assumptions!$B$18),1+Assumptions!$B$17,1)</f>
        <v>16042.5</v>
      </c>
      <c r="AH23" s="40" t="n">
        <f aca="false">$E23/12*V23*IF(AND($J23=1,AH$5&gt;=Assumptions!$B$18),1+Assumptions!$B$17,1)</f>
        <v>16042.5</v>
      </c>
    </row>
    <row r="24" customFormat="false" ht="15" hidden="false" customHeight="true" outlineLevel="0" collapsed="false">
      <c r="A24" s="13" t="str">
        <f aca="false">Roster!A24</f>
        <v>ENG-119</v>
      </c>
      <c r="B24" s="13" t="str">
        <f aca="false">Roster!B24</f>
        <v>Engineering</v>
      </c>
      <c r="C24" s="13" t="str">
        <f aca="false">Roster!E24</f>
        <v>Existing</v>
      </c>
      <c r="D24" s="34" t="n">
        <f aca="false">Roster!D24</f>
        <v>4</v>
      </c>
      <c r="E24" s="35" t="n">
        <f aca="false">Roster!F24</f>
        <v>197500</v>
      </c>
      <c r="F24" s="36" t="n">
        <f aca="false">IF(Roster!E24="Open role",MAX(Assumptions!$B$14,EDATE(Roster!G24,IF(Roster!I24=2,Assumptions!$F$10,0)-Assumptions!$F$9)),Roster!G24)</f>
        <v>44166</v>
      </c>
      <c r="G24" s="36" t="n">
        <f aca="false">IF(Roster!H24="",DATE(2099,12,31),Roster!H24)</f>
        <v>73050</v>
      </c>
      <c r="H24" s="37" t="n">
        <f aca="false">IF(Roster!E24="Existing",1,IF(Roster!I24&lt;=Assumptions!$F$8,1,0))</f>
        <v>1</v>
      </c>
      <c r="I24" s="38" t="n">
        <f aca="false">IF(B24="Sales",Assumptions!$B$23,VLOOKUP(D24,Assumptions!$A$27:$B$31,2,FALSE()))</f>
        <v>0.15</v>
      </c>
      <c r="J24" s="37" t="n">
        <f aca="false">IF(F24&lt;Assumptions!$B$14,1,0)</f>
        <v>1</v>
      </c>
      <c r="K24" s="39" t="n">
        <f aca="false">IF($H24=1,MAX(0,MIN($G24,EOMONTH(K$5,0))-MAX($F24,K$5)+1)/DAY(EOMONTH(K$5,0)),0)</f>
        <v>1</v>
      </c>
      <c r="L24" s="39" t="n">
        <f aca="false">IF($H24=1,MAX(0,MIN($G24,EOMONTH(L$5,0))-MAX($F24,L$5)+1)/DAY(EOMONTH(L$5,0)),0)</f>
        <v>1</v>
      </c>
      <c r="M24" s="39" t="n">
        <f aca="false">IF($H24=1,MAX(0,MIN($G24,EOMONTH(M$5,0))-MAX($F24,M$5)+1)/DAY(EOMONTH(M$5,0)),0)</f>
        <v>1</v>
      </c>
      <c r="N24" s="39" t="n">
        <f aca="false">IF($H24=1,MAX(0,MIN($G24,EOMONTH(N$5,0))-MAX($F24,N$5)+1)/DAY(EOMONTH(N$5,0)),0)</f>
        <v>1</v>
      </c>
      <c r="O24" s="39" t="n">
        <f aca="false">IF($H24=1,MAX(0,MIN($G24,EOMONTH(O$5,0))-MAX($F24,O$5)+1)/DAY(EOMONTH(O$5,0)),0)</f>
        <v>1</v>
      </c>
      <c r="P24" s="39" t="n">
        <f aca="false">IF($H24=1,MAX(0,MIN($G24,EOMONTH(P$5,0))-MAX($F24,P$5)+1)/DAY(EOMONTH(P$5,0)),0)</f>
        <v>1</v>
      </c>
      <c r="Q24" s="39" t="n">
        <f aca="false">IF($H24=1,MAX(0,MIN($G24,EOMONTH(Q$5,0))-MAX($F24,Q$5)+1)/DAY(EOMONTH(Q$5,0)),0)</f>
        <v>1</v>
      </c>
      <c r="R24" s="39" t="n">
        <f aca="false">IF($H24=1,MAX(0,MIN($G24,EOMONTH(R$5,0))-MAX($F24,R$5)+1)/DAY(EOMONTH(R$5,0)),0)</f>
        <v>1</v>
      </c>
      <c r="S24" s="39" t="n">
        <f aca="false">IF($H24=1,MAX(0,MIN($G24,EOMONTH(S$5,0))-MAX($F24,S$5)+1)/DAY(EOMONTH(S$5,0)),0)</f>
        <v>1</v>
      </c>
      <c r="T24" s="39" t="n">
        <f aca="false">IF($H24=1,MAX(0,MIN($G24,EOMONTH(T$5,0))-MAX($F24,T$5)+1)/DAY(EOMONTH(T$5,0)),0)</f>
        <v>1</v>
      </c>
      <c r="U24" s="39" t="n">
        <f aca="false">IF($H24=1,MAX(0,MIN($G24,EOMONTH(U$5,0))-MAX($F24,U$5)+1)/DAY(EOMONTH(U$5,0)),0)</f>
        <v>1</v>
      </c>
      <c r="V24" s="39" t="n">
        <f aca="false">IF($H24=1,MAX(0,MIN($G24,EOMONTH(V$5,0))-MAX($F24,V$5)+1)/DAY(EOMONTH(V$5,0)),0)</f>
        <v>1</v>
      </c>
      <c r="W24" s="40" t="n">
        <f aca="false">$E24/12*K24*IF(AND($J24=1,W$5&gt;=Assumptions!$B$18),1+Assumptions!$B$17,1)</f>
        <v>16458.3333333333</v>
      </c>
      <c r="X24" s="40" t="n">
        <f aca="false">$E24/12*L24*IF(AND($J24=1,X$5&gt;=Assumptions!$B$18),1+Assumptions!$B$17,1)</f>
        <v>16458.3333333333</v>
      </c>
      <c r="Y24" s="40" t="n">
        <f aca="false">$E24/12*M24*IF(AND($J24=1,Y$5&gt;=Assumptions!$B$18),1+Assumptions!$B$17,1)</f>
        <v>16458.3333333333</v>
      </c>
      <c r="Z24" s="40" t="n">
        <f aca="false">$E24/12*N24*IF(AND($J24=1,Z$5&gt;=Assumptions!$B$18),1+Assumptions!$B$17,1)</f>
        <v>17034.375</v>
      </c>
      <c r="AA24" s="40" t="n">
        <f aca="false">$E24/12*O24*IF(AND($J24=1,AA$5&gt;=Assumptions!$B$18),1+Assumptions!$B$17,1)</f>
        <v>17034.375</v>
      </c>
      <c r="AB24" s="40" t="n">
        <f aca="false">$E24/12*P24*IF(AND($J24=1,AB$5&gt;=Assumptions!$B$18),1+Assumptions!$B$17,1)</f>
        <v>17034.375</v>
      </c>
      <c r="AC24" s="40" t="n">
        <f aca="false">$E24/12*Q24*IF(AND($J24=1,AC$5&gt;=Assumptions!$B$18),1+Assumptions!$B$17,1)</f>
        <v>17034.375</v>
      </c>
      <c r="AD24" s="40" t="n">
        <f aca="false">$E24/12*R24*IF(AND($J24=1,AD$5&gt;=Assumptions!$B$18),1+Assumptions!$B$17,1)</f>
        <v>17034.375</v>
      </c>
      <c r="AE24" s="40" t="n">
        <f aca="false">$E24/12*S24*IF(AND($J24=1,AE$5&gt;=Assumptions!$B$18),1+Assumptions!$B$17,1)</f>
        <v>17034.375</v>
      </c>
      <c r="AF24" s="40" t="n">
        <f aca="false">$E24/12*T24*IF(AND($J24=1,AF$5&gt;=Assumptions!$B$18),1+Assumptions!$B$17,1)</f>
        <v>17034.375</v>
      </c>
      <c r="AG24" s="40" t="n">
        <f aca="false">$E24/12*U24*IF(AND($J24=1,AG$5&gt;=Assumptions!$B$18),1+Assumptions!$B$17,1)</f>
        <v>17034.375</v>
      </c>
      <c r="AH24" s="40" t="n">
        <f aca="false">$E24/12*V24*IF(AND($J24=1,AH$5&gt;=Assumptions!$B$18),1+Assumptions!$B$17,1)</f>
        <v>17034.375</v>
      </c>
    </row>
    <row r="25" customFormat="false" ht="15" hidden="false" customHeight="true" outlineLevel="0" collapsed="false">
      <c r="A25" s="13" t="str">
        <f aca="false">Roster!A25</f>
        <v>ENG-120</v>
      </c>
      <c r="B25" s="13" t="str">
        <f aca="false">Roster!B25</f>
        <v>Engineering</v>
      </c>
      <c r="C25" s="13" t="str">
        <f aca="false">Roster!E25</f>
        <v>Existing</v>
      </c>
      <c r="D25" s="34" t="n">
        <f aca="false">Roster!D25</f>
        <v>5</v>
      </c>
      <c r="E25" s="35" t="n">
        <f aca="false">Roster!F25</f>
        <v>243000</v>
      </c>
      <c r="F25" s="36" t="n">
        <f aca="false">IF(Roster!E25="Open role",MAX(Assumptions!$B$14,EDATE(Roster!G25,IF(Roster!I25=2,Assumptions!$F$10,0)-Assumptions!$F$9)),Roster!G25)</f>
        <v>45047</v>
      </c>
      <c r="G25" s="36" t="n">
        <f aca="false">IF(Roster!H25="",DATE(2099,12,31),Roster!H25)</f>
        <v>73050</v>
      </c>
      <c r="H25" s="37" t="n">
        <f aca="false">IF(Roster!E25="Existing",1,IF(Roster!I25&lt;=Assumptions!$F$8,1,0))</f>
        <v>1</v>
      </c>
      <c r="I25" s="38" t="n">
        <f aca="false">IF(B25="Sales",Assumptions!$B$23,VLOOKUP(D25,Assumptions!$A$27:$B$31,2,FALSE()))</f>
        <v>0.2</v>
      </c>
      <c r="J25" s="37" t="n">
        <f aca="false">IF(F25&lt;Assumptions!$B$14,1,0)</f>
        <v>1</v>
      </c>
      <c r="K25" s="39" t="n">
        <f aca="false">IF($H25=1,MAX(0,MIN($G25,EOMONTH(K$5,0))-MAX($F25,K$5)+1)/DAY(EOMONTH(K$5,0)),0)</f>
        <v>1</v>
      </c>
      <c r="L25" s="39" t="n">
        <f aca="false">IF($H25=1,MAX(0,MIN($G25,EOMONTH(L$5,0))-MAX($F25,L$5)+1)/DAY(EOMONTH(L$5,0)),0)</f>
        <v>1</v>
      </c>
      <c r="M25" s="39" t="n">
        <f aca="false">IF($H25=1,MAX(0,MIN($G25,EOMONTH(M$5,0))-MAX($F25,M$5)+1)/DAY(EOMONTH(M$5,0)),0)</f>
        <v>1</v>
      </c>
      <c r="N25" s="39" t="n">
        <f aca="false">IF($H25=1,MAX(0,MIN($G25,EOMONTH(N$5,0))-MAX($F25,N$5)+1)/DAY(EOMONTH(N$5,0)),0)</f>
        <v>1</v>
      </c>
      <c r="O25" s="39" t="n">
        <f aca="false">IF($H25=1,MAX(0,MIN($G25,EOMONTH(O$5,0))-MAX($F25,O$5)+1)/DAY(EOMONTH(O$5,0)),0)</f>
        <v>1</v>
      </c>
      <c r="P25" s="39" t="n">
        <f aca="false">IF($H25=1,MAX(0,MIN($G25,EOMONTH(P$5,0))-MAX($F25,P$5)+1)/DAY(EOMONTH(P$5,0)),0)</f>
        <v>1</v>
      </c>
      <c r="Q25" s="39" t="n">
        <f aca="false">IF($H25=1,MAX(0,MIN($G25,EOMONTH(Q$5,0))-MAX($F25,Q$5)+1)/DAY(EOMONTH(Q$5,0)),0)</f>
        <v>1</v>
      </c>
      <c r="R25" s="39" t="n">
        <f aca="false">IF($H25=1,MAX(0,MIN($G25,EOMONTH(R$5,0))-MAX($F25,R$5)+1)/DAY(EOMONTH(R$5,0)),0)</f>
        <v>1</v>
      </c>
      <c r="S25" s="39" t="n">
        <f aca="false">IF($H25=1,MAX(0,MIN($G25,EOMONTH(S$5,0))-MAX($F25,S$5)+1)/DAY(EOMONTH(S$5,0)),0)</f>
        <v>1</v>
      </c>
      <c r="T25" s="39" t="n">
        <f aca="false">IF($H25=1,MAX(0,MIN($G25,EOMONTH(T$5,0))-MAX($F25,T$5)+1)/DAY(EOMONTH(T$5,0)),0)</f>
        <v>1</v>
      </c>
      <c r="U25" s="39" t="n">
        <f aca="false">IF($H25=1,MAX(0,MIN($G25,EOMONTH(U$5,0))-MAX($F25,U$5)+1)/DAY(EOMONTH(U$5,0)),0)</f>
        <v>1</v>
      </c>
      <c r="V25" s="39" t="n">
        <f aca="false">IF($H25=1,MAX(0,MIN($G25,EOMONTH(V$5,0))-MAX($F25,V$5)+1)/DAY(EOMONTH(V$5,0)),0)</f>
        <v>1</v>
      </c>
      <c r="W25" s="40" t="n">
        <f aca="false">$E25/12*K25*IF(AND($J25=1,W$5&gt;=Assumptions!$B$18),1+Assumptions!$B$17,1)</f>
        <v>20250</v>
      </c>
      <c r="X25" s="40" t="n">
        <f aca="false">$E25/12*L25*IF(AND($J25=1,X$5&gt;=Assumptions!$B$18),1+Assumptions!$B$17,1)</f>
        <v>20250</v>
      </c>
      <c r="Y25" s="40" t="n">
        <f aca="false">$E25/12*M25*IF(AND($J25=1,Y$5&gt;=Assumptions!$B$18),1+Assumptions!$B$17,1)</f>
        <v>20250</v>
      </c>
      <c r="Z25" s="40" t="n">
        <f aca="false">$E25/12*N25*IF(AND($J25=1,Z$5&gt;=Assumptions!$B$18),1+Assumptions!$B$17,1)</f>
        <v>20958.75</v>
      </c>
      <c r="AA25" s="40" t="n">
        <f aca="false">$E25/12*O25*IF(AND($J25=1,AA$5&gt;=Assumptions!$B$18),1+Assumptions!$B$17,1)</f>
        <v>20958.75</v>
      </c>
      <c r="AB25" s="40" t="n">
        <f aca="false">$E25/12*P25*IF(AND($J25=1,AB$5&gt;=Assumptions!$B$18),1+Assumptions!$B$17,1)</f>
        <v>20958.75</v>
      </c>
      <c r="AC25" s="40" t="n">
        <f aca="false">$E25/12*Q25*IF(AND($J25=1,AC$5&gt;=Assumptions!$B$18),1+Assumptions!$B$17,1)</f>
        <v>20958.75</v>
      </c>
      <c r="AD25" s="40" t="n">
        <f aca="false">$E25/12*R25*IF(AND($J25=1,AD$5&gt;=Assumptions!$B$18),1+Assumptions!$B$17,1)</f>
        <v>20958.75</v>
      </c>
      <c r="AE25" s="40" t="n">
        <f aca="false">$E25/12*S25*IF(AND($J25=1,AE$5&gt;=Assumptions!$B$18),1+Assumptions!$B$17,1)</f>
        <v>20958.75</v>
      </c>
      <c r="AF25" s="40" t="n">
        <f aca="false">$E25/12*T25*IF(AND($J25=1,AF$5&gt;=Assumptions!$B$18),1+Assumptions!$B$17,1)</f>
        <v>20958.75</v>
      </c>
      <c r="AG25" s="40" t="n">
        <f aca="false">$E25/12*U25*IF(AND($J25=1,AG$5&gt;=Assumptions!$B$18),1+Assumptions!$B$17,1)</f>
        <v>20958.75</v>
      </c>
      <c r="AH25" s="40" t="n">
        <f aca="false">$E25/12*V25*IF(AND($J25=1,AH$5&gt;=Assumptions!$B$18),1+Assumptions!$B$17,1)</f>
        <v>20958.75</v>
      </c>
    </row>
    <row r="26" customFormat="false" ht="15" hidden="false" customHeight="true" outlineLevel="0" collapsed="false">
      <c r="A26" s="13" t="str">
        <f aca="false">Roster!A26</f>
        <v>PRD-101</v>
      </c>
      <c r="B26" s="13" t="str">
        <f aca="false">Roster!B26</f>
        <v>Product</v>
      </c>
      <c r="C26" s="13" t="str">
        <f aca="false">Roster!E26</f>
        <v>Existing</v>
      </c>
      <c r="D26" s="34" t="n">
        <f aca="false">Roster!D26</f>
        <v>2</v>
      </c>
      <c r="E26" s="35" t="n">
        <f aca="false">Roster!F26</f>
        <v>100500</v>
      </c>
      <c r="F26" s="36" t="n">
        <f aca="false">IF(Roster!E26="Open role",MAX(Assumptions!$B$14,EDATE(Roster!G26,IF(Roster!I26=2,Assumptions!$F$10,0)-Assumptions!$F$9)),Roster!G26)</f>
        <v>45809</v>
      </c>
      <c r="G26" s="36" t="n">
        <f aca="false">IF(Roster!H26="",DATE(2099,12,31),Roster!H26)</f>
        <v>73050</v>
      </c>
      <c r="H26" s="37" t="n">
        <f aca="false">IF(Roster!E26="Existing",1,IF(Roster!I26&lt;=Assumptions!$F$8,1,0))</f>
        <v>1</v>
      </c>
      <c r="I26" s="38" t="n">
        <f aca="false">IF(B26="Sales",Assumptions!$B$23,VLOOKUP(D26,Assumptions!$A$27:$B$31,2,FALSE()))</f>
        <v>0.08</v>
      </c>
      <c r="J26" s="37" t="n">
        <f aca="false">IF(F26&lt;Assumptions!$B$14,1,0)</f>
        <v>1</v>
      </c>
      <c r="K26" s="39" t="n">
        <f aca="false">IF($H26=1,MAX(0,MIN($G26,EOMONTH(K$5,0))-MAX($F26,K$5)+1)/DAY(EOMONTH(K$5,0)),0)</f>
        <v>1</v>
      </c>
      <c r="L26" s="39" t="n">
        <f aca="false">IF($H26=1,MAX(0,MIN($G26,EOMONTH(L$5,0))-MAX($F26,L$5)+1)/DAY(EOMONTH(L$5,0)),0)</f>
        <v>1</v>
      </c>
      <c r="M26" s="39" t="n">
        <f aca="false">IF($H26=1,MAX(0,MIN($G26,EOMONTH(M$5,0))-MAX($F26,M$5)+1)/DAY(EOMONTH(M$5,0)),0)</f>
        <v>1</v>
      </c>
      <c r="N26" s="39" t="n">
        <f aca="false">IF($H26=1,MAX(0,MIN($G26,EOMONTH(N$5,0))-MAX($F26,N$5)+1)/DAY(EOMONTH(N$5,0)),0)</f>
        <v>1</v>
      </c>
      <c r="O26" s="39" t="n">
        <f aca="false">IF($H26=1,MAX(0,MIN($G26,EOMONTH(O$5,0))-MAX($F26,O$5)+1)/DAY(EOMONTH(O$5,0)),0)</f>
        <v>1</v>
      </c>
      <c r="P26" s="39" t="n">
        <f aca="false">IF($H26=1,MAX(0,MIN($G26,EOMONTH(P$5,0))-MAX($F26,P$5)+1)/DAY(EOMONTH(P$5,0)),0)</f>
        <v>1</v>
      </c>
      <c r="Q26" s="39" t="n">
        <f aca="false">IF($H26=1,MAX(0,MIN($G26,EOMONTH(Q$5,0))-MAX($F26,Q$5)+1)/DAY(EOMONTH(Q$5,0)),0)</f>
        <v>1</v>
      </c>
      <c r="R26" s="39" t="n">
        <f aca="false">IF($H26=1,MAX(0,MIN($G26,EOMONTH(R$5,0))-MAX($F26,R$5)+1)/DAY(EOMONTH(R$5,0)),0)</f>
        <v>1</v>
      </c>
      <c r="S26" s="39" t="n">
        <f aca="false">IF($H26=1,MAX(0,MIN($G26,EOMONTH(S$5,0))-MAX($F26,S$5)+1)/DAY(EOMONTH(S$5,0)),0)</f>
        <v>1</v>
      </c>
      <c r="T26" s="39" t="n">
        <f aca="false">IF($H26=1,MAX(0,MIN($G26,EOMONTH(T$5,0))-MAX($F26,T$5)+1)/DAY(EOMONTH(T$5,0)),0)</f>
        <v>1</v>
      </c>
      <c r="U26" s="39" t="n">
        <f aca="false">IF($H26=1,MAX(0,MIN($G26,EOMONTH(U$5,0))-MAX($F26,U$5)+1)/DAY(EOMONTH(U$5,0)),0)</f>
        <v>1</v>
      </c>
      <c r="V26" s="39" t="n">
        <f aca="false">IF($H26=1,MAX(0,MIN($G26,EOMONTH(V$5,0))-MAX($F26,V$5)+1)/DAY(EOMONTH(V$5,0)),0)</f>
        <v>1</v>
      </c>
      <c r="W26" s="40" t="n">
        <f aca="false">$E26/12*K26*IF(AND($J26=1,W$5&gt;=Assumptions!$B$18),1+Assumptions!$B$17,1)</f>
        <v>8375</v>
      </c>
      <c r="X26" s="40" t="n">
        <f aca="false">$E26/12*L26*IF(AND($J26=1,X$5&gt;=Assumptions!$B$18),1+Assumptions!$B$17,1)</f>
        <v>8375</v>
      </c>
      <c r="Y26" s="40" t="n">
        <f aca="false">$E26/12*M26*IF(AND($J26=1,Y$5&gt;=Assumptions!$B$18),1+Assumptions!$B$17,1)</f>
        <v>8375</v>
      </c>
      <c r="Z26" s="40" t="n">
        <f aca="false">$E26/12*N26*IF(AND($J26=1,Z$5&gt;=Assumptions!$B$18),1+Assumptions!$B$17,1)</f>
        <v>8668.125</v>
      </c>
      <c r="AA26" s="40" t="n">
        <f aca="false">$E26/12*O26*IF(AND($J26=1,AA$5&gt;=Assumptions!$B$18),1+Assumptions!$B$17,1)</f>
        <v>8668.125</v>
      </c>
      <c r="AB26" s="40" t="n">
        <f aca="false">$E26/12*P26*IF(AND($J26=1,AB$5&gt;=Assumptions!$B$18),1+Assumptions!$B$17,1)</f>
        <v>8668.125</v>
      </c>
      <c r="AC26" s="40" t="n">
        <f aca="false">$E26/12*Q26*IF(AND($J26=1,AC$5&gt;=Assumptions!$B$18),1+Assumptions!$B$17,1)</f>
        <v>8668.125</v>
      </c>
      <c r="AD26" s="40" t="n">
        <f aca="false">$E26/12*R26*IF(AND($J26=1,AD$5&gt;=Assumptions!$B$18),1+Assumptions!$B$17,1)</f>
        <v>8668.125</v>
      </c>
      <c r="AE26" s="40" t="n">
        <f aca="false">$E26/12*S26*IF(AND($J26=1,AE$5&gt;=Assumptions!$B$18),1+Assumptions!$B$17,1)</f>
        <v>8668.125</v>
      </c>
      <c r="AF26" s="40" t="n">
        <f aca="false">$E26/12*T26*IF(AND($J26=1,AF$5&gt;=Assumptions!$B$18),1+Assumptions!$B$17,1)</f>
        <v>8668.125</v>
      </c>
      <c r="AG26" s="40" t="n">
        <f aca="false">$E26/12*U26*IF(AND($J26=1,AG$5&gt;=Assumptions!$B$18),1+Assumptions!$B$17,1)</f>
        <v>8668.125</v>
      </c>
      <c r="AH26" s="40" t="n">
        <f aca="false">$E26/12*V26*IF(AND($J26=1,AH$5&gt;=Assumptions!$B$18),1+Assumptions!$B$17,1)</f>
        <v>8668.125</v>
      </c>
    </row>
    <row r="27" customFormat="false" ht="15" hidden="false" customHeight="true" outlineLevel="0" collapsed="false">
      <c r="A27" s="13" t="str">
        <f aca="false">Roster!A27</f>
        <v>PRD-102</v>
      </c>
      <c r="B27" s="13" t="str">
        <f aca="false">Roster!B27</f>
        <v>Product</v>
      </c>
      <c r="C27" s="13" t="str">
        <f aca="false">Roster!E27</f>
        <v>Existing</v>
      </c>
      <c r="D27" s="34" t="n">
        <f aca="false">Roster!D27</f>
        <v>2</v>
      </c>
      <c r="E27" s="35" t="n">
        <f aca="false">Roster!F27</f>
        <v>105500</v>
      </c>
      <c r="F27" s="36" t="n">
        <f aca="false">IF(Roster!E27="Open role",MAX(Assumptions!$B$14,EDATE(Roster!G27,IF(Roster!I27=2,Assumptions!$F$10,0)-Assumptions!$F$9)),Roster!G27)</f>
        <v>44136</v>
      </c>
      <c r="G27" s="36" t="n">
        <f aca="false">IF(Roster!H27="",DATE(2099,12,31),Roster!H27)</f>
        <v>73050</v>
      </c>
      <c r="H27" s="37" t="n">
        <f aca="false">IF(Roster!E27="Existing",1,IF(Roster!I27&lt;=Assumptions!$F$8,1,0))</f>
        <v>1</v>
      </c>
      <c r="I27" s="38" t="n">
        <f aca="false">IF(B27="Sales",Assumptions!$B$23,VLOOKUP(D27,Assumptions!$A$27:$B$31,2,FALSE()))</f>
        <v>0.08</v>
      </c>
      <c r="J27" s="37" t="n">
        <f aca="false">IF(F27&lt;Assumptions!$B$14,1,0)</f>
        <v>1</v>
      </c>
      <c r="K27" s="39" t="n">
        <f aca="false">IF($H27=1,MAX(0,MIN($G27,EOMONTH(K$5,0))-MAX($F27,K$5)+1)/DAY(EOMONTH(K$5,0)),0)</f>
        <v>1</v>
      </c>
      <c r="L27" s="39" t="n">
        <f aca="false">IF($H27=1,MAX(0,MIN($G27,EOMONTH(L$5,0))-MAX($F27,L$5)+1)/DAY(EOMONTH(L$5,0)),0)</f>
        <v>1</v>
      </c>
      <c r="M27" s="39" t="n">
        <f aca="false">IF($H27=1,MAX(0,MIN($G27,EOMONTH(M$5,0))-MAX($F27,M$5)+1)/DAY(EOMONTH(M$5,0)),0)</f>
        <v>1</v>
      </c>
      <c r="N27" s="39" t="n">
        <f aca="false">IF($H27=1,MAX(0,MIN($G27,EOMONTH(N$5,0))-MAX($F27,N$5)+1)/DAY(EOMONTH(N$5,0)),0)</f>
        <v>1</v>
      </c>
      <c r="O27" s="39" t="n">
        <f aca="false">IF($H27=1,MAX(0,MIN($G27,EOMONTH(O$5,0))-MAX($F27,O$5)+1)/DAY(EOMONTH(O$5,0)),0)</f>
        <v>1</v>
      </c>
      <c r="P27" s="39" t="n">
        <f aca="false">IF($H27=1,MAX(0,MIN($G27,EOMONTH(P$5,0))-MAX($F27,P$5)+1)/DAY(EOMONTH(P$5,0)),0)</f>
        <v>1</v>
      </c>
      <c r="Q27" s="39" t="n">
        <f aca="false">IF($H27=1,MAX(0,MIN($G27,EOMONTH(Q$5,0))-MAX($F27,Q$5)+1)/DAY(EOMONTH(Q$5,0)),0)</f>
        <v>1</v>
      </c>
      <c r="R27" s="39" t="n">
        <f aca="false">IF($H27=1,MAX(0,MIN($G27,EOMONTH(R$5,0))-MAX($F27,R$5)+1)/DAY(EOMONTH(R$5,0)),0)</f>
        <v>1</v>
      </c>
      <c r="S27" s="39" t="n">
        <f aca="false">IF($H27=1,MAX(0,MIN($G27,EOMONTH(S$5,0))-MAX($F27,S$5)+1)/DAY(EOMONTH(S$5,0)),0)</f>
        <v>1</v>
      </c>
      <c r="T27" s="39" t="n">
        <f aca="false">IF($H27=1,MAX(0,MIN($G27,EOMONTH(T$5,0))-MAX($F27,T$5)+1)/DAY(EOMONTH(T$5,0)),0)</f>
        <v>1</v>
      </c>
      <c r="U27" s="39" t="n">
        <f aca="false">IF($H27=1,MAX(0,MIN($G27,EOMONTH(U$5,0))-MAX($F27,U$5)+1)/DAY(EOMONTH(U$5,0)),0)</f>
        <v>1</v>
      </c>
      <c r="V27" s="39" t="n">
        <f aca="false">IF($H27=1,MAX(0,MIN($G27,EOMONTH(V$5,0))-MAX($F27,V$5)+1)/DAY(EOMONTH(V$5,0)),0)</f>
        <v>1</v>
      </c>
      <c r="W27" s="40" t="n">
        <f aca="false">$E27/12*K27*IF(AND($J27=1,W$5&gt;=Assumptions!$B$18),1+Assumptions!$B$17,1)</f>
        <v>8791.66666666667</v>
      </c>
      <c r="X27" s="40" t="n">
        <f aca="false">$E27/12*L27*IF(AND($J27=1,X$5&gt;=Assumptions!$B$18),1+Assumptions!$B$17,1)</f>
        <v>8791.66666666667</v>
      </c>
      <c r="Y27" s="40" t="n">
        <f aca="false">$E27/12*M27*IF(AND($J27=1,Y$5&gt;=Assumptions!$B$18),1+Assumptions!$B$17,1)</f>
        <v>8791.66666666667</v>
      </c>
      <c r="Z27" s="40" t="n">
        <f aca="false">$E27/12*N27*IF(AND($J27=1,Z$5&gt;=Assumptions!$B$18),1+Assumptions!$B$17,1)</f>
        <v>9099.375</v>
      </c>
      <c r="AA27" s="40" t="n">
        <f aca="false">$E27/12*O27*IF(AND($J27=1,AA$5&gt;=Assumptions!$B$18),1+Assumptions!$B$17,1)</f>
        <v>9099.375</v>
      </c>
      <c r="AB27" s="40" t="n">
        <f aca="false">$E27/12*P27*IF(AND($J27=1,AB$5&gt;=Assumptions!$B$18),1+Assumptions!$B$17,1)</f>
        <v>9099.375</v>
      </c>
      <c r="AC27" s="40" t="n">
        <f aca="false">$E27/12*Q27*IF(AND($J27=1,AC$5&gt;=Assumptions!$B$18),1+Assumptions!$B$17,1)</f>
        <v>9099.375</v>
      </c>
      <c r="AD27" s="40" t="n">
        <f aca="false">$E27/12*R27*IF(AND($J27=1,AD$5&gt;=Assumptions!$B$18),1+Assumptions!$B$17,1)</f>
        <v>9099.375</v>
      </c>
      <c r="AE27" s="40" t="n">
        <f aca="false">$E27/12*S27*IF(AND($J27=1,AE$5&gt;=Assumptions!$B$18),1+Assumptions!$B$17,1)</f>
        <v>9099.375</v>
      </c>
      <c r="AF27" s="40" t="n">
        <f aca="false">$E27/12*T27*IF(AND($J27=1,AF$5&gt;=Assumptions!$B$18),1+Assumptions!$B$17,1)</f>
        <v>9099.375</v>
      </c>
      <c r="AG27" s="40" t="n">
        <f aca="false">$E27/12*U27*IF(AND($J27=1,AG$5&gt;=Assumptions!$B$18),1+Assumptions!$B$17,1)</f>
        <v>9099.375</v>
      </c>
      <c r="AH27" s="40" t="n">
        <f aca="false">$E27/12*V27*IF(AND($J27=1,AH$5&gt;=Assumptions!$B$18),1+Assumptions!$B$17,1)</f>
        <v>9099.375</v>
      </c>
    </row>
    <row r="28" customFormat="false" ht="15" hidden="false" customHeight="true" outlineLevel="0" collapsed="false">
      <c r="A28" s="13" t="str">
        <f aca="false">Roster!A28</f>
        <v>PRD-103</v>
      </c>
      <c r="B28" s="13" t="str">
        <f aca="false">Roster!B28</f>
        <v>Product</v>
      </c>
      <c r="C28" s="13" t="str">
        <f aca="false">Roster!E28</f>
        <v>Existing</v>
      </c>
      <c r="D28" s="34" t="n">
        <f aca="false">Roster!D28</f>
        <v>3</v>
      </c>
      <c r="E28" s="35" t="n">
        <f aca="false">Roster!F28</f>
        <v>139500</v>
      </c>
      <c r="F28" s="36" t="n">
        <f aca="false">IF(Roster!E28="Open role",MAX(Assumptions!$B$14,EDATE(Roster!G28,IF(Roster!I28=2,Assumptions!$F$10,0)-Assumptions!$F$9)),Roster!G28)</f>
        <v>45017</v>
      </c>
      <c r="G28" s="36" t="n">
        <f aca="false">IF(Roster!H28="",DATE(2099,12,31),Roster!H28)</f>
        <v>73050</v>
      </c>
      <c r="H28" s="37" t="n">
        <f aca="false">IF(Roster!E28="Existing",1,IF(Roster!I28&lt;=Assumptions!$F$8,1,0))</f>
        <v>1</v>
      </c>
      <c r="I28" s="38" t="n">
        <f aca="false">IF(B28="Sales",Assumptions!$B$23,VLOOKUP(D28,Assumptions!$A$27:$B$31,2,FALSE()))</f>
        <v>0.1</v>
      </c>
      <c r="J28" s="37" t="n">
        <f aca="false">IF(F28&lt;Assumptions!$B$14,1,0)</f>
        <v>1</v>
      </c>
      <c r="K28" s="39" t="n">
        <f aca="false">IF($H28=1,MAX(0,MIN($G28,EOMONTH(K$5,0))-MAX($F28,K$5)+1)/DAY(EOMONTH(K$5,0)),0)</f>
        <v>1</v>
      </c>
      <c r="L28" s="39" t="n">
        <f aca="false">IF($H28=1,MAX(0,MIN($G28,EOMONTH(L$5,0))-MAX($F28,L$5)+1)/DAY(EOMONTH(L$5,0)),0)</f>
        <v>1</v>
      </c>
      <c r="M28" s="39" t="n">
        <f aca="false">IF($H28=1,MAX(0,MIN($G28,EOMONTH(M$5,0))-MAX($F28,M$5)+1)/DAY(EOMONTH(M$5,0)),0)</f>
        <v>1</v>
      </c>
      <c r="N28" s="39" t="n">
        <f aca="false">IF($H28=1,MAX(0,MIN($G28,EOMONTH(N$5,0))-MAX($F28,N$5)+1)/DAY(EOMONTH(N$5,0)),0)</f>
        <v>1</v>
      </c>
      <c r="O28" s="39" t="n">
        <f aca="false">IF($H28=1,MAX(0,MIN($G28,EOMONTH(O$5,0))-MAX($F28,O$5)+1)/DAY(EOMONTH(O$5,0)),0)</f>
        <v>1</v>
      </c>
      <c r="P28" s="39" t="n">
        <f aca="false">IF($H28=1,MAX(0,MIN($G28,EOMONTH(P$5,0))-MAX($F28,P$5)+1)/DAY(EOMONTH(P$5,0)),0)</f>
        <v>1</v>
      </c>
      <c r="Q28" s="39" t="n">
        <f aca="false">IF($H28=1,MAX(0,MIN($G28,EOMONTH(Q$5,0))-MAX($F28,Q$5)+1)/DAY(EOMONTH(Q$5,0)),0)</f>
        <v>1</v>
      </c>
      <c r="R28" s="39" t="n">
        <f aca="false">IF($H28=1,MAX(0,MIN($G28,EOMONTH(R$5,0))-MAX($F28,R$5)+1)/DAY(EOMONTH(R$5,0)),0)</f>
        <v>1</v>
      </c>
      <c r="S28" s="39" t="n">
        <f aca="false">IF($H28=1,MAX(0,MIN($G28,EOMONTH(S$5,0))-MAX($F28,S$5)+1)/DAY(EOMONTH(S$5,0)),0)</f>
        <v>1</v>
      </c>
      <c r="T28" s="39" t="n">
        <f aca="false">IF($H28=1,MAX(0,MIN($G28,EOMONTH(T$5,0))-MAX($F28,T$5)+1)/DAY(EOMONTH(T$5,0)),0)</f>
        <v>1</v>
      </c>
      <c r="U28" s="39" t="n">
        <f aca="false">IF($H28=1,MAX(0,MIN($G28,EOMONTH(U$5,0))-MAX($F28,U$5)+1)/DAY(EOMONTH(U$5,0)),0)</f>
        <v>1</v>
      </c>
      <c r="V28" s="39" t="n">
        <f aca="false">IF($H28=1,MAX(0,MIN($G28,EOMONTH(V$5,0))-MAX($F28,V$5)+1)/DAY(EOMONTH(V$5,0)),0)</f>
        <v>1</v>
      </c>
      <c r="W28" s="40" t="n">
        <f aca="false">$E28/12*K28*IF(AND($J28=1,W$5&gt;=Assumptions!$B$18),1+Assumptions!$B$17,1)</f>
        <v>11625</v>
      </c>
      <c r="X28" s="40" t="n">
        <f aca="false">$E28/12*L28*IF(AND($J28=1,X$5&gt;=Assumptions!$B$18),1+Assumptions!$B$17,1)</f>
        <v>11625</v>
      </c>
      <c r="Y28" s="40" t="n">
        <f aca="false">$E28/12*M28*IF(AND($J28=1,Y$5&gt;=Assumptions!$B$18),1+Assumptions!$B$17,1)</f>
        <v>11625</v>
      </c>
      <c r="Z28" s="40" t="n">
        <f aca="false">$E28/12*N28*IF(AND($J28=1,Z$5&gt;=Assumptions!$B$18),1+Assumptions!$B$17,1)</f>
        <v>12031.875</v>
      </c>
      <c r="AA28" s="40" t="n">
        <f aca="false">$E28/12*O28*IF(AND($J28=1,AA$5&gt;=Assumptions!$B$18),1+Assumptions!$B$17,1)</f>
        <v>12031.875</v>
      </c>
      <c r="AB28" s="40" t="n">
        <f aca="false">$E28/12*P28*IF(AND($J28=1,AB$5&gt;=Assumptions!$B$18),1+Assumptions!$B$17,1)</f>
        <v>12031.875</v>
      </c>
      <c r="AC28" s="40" t="n">
        <f aca="false">$E28/12*Q28*IF(AND($J28=1,AC$5&gt;=Assumptions!$B$18),1+Assumptions!$B$17,1)</f>
        <v>12031.875</v>
      </c>
      <c r="AD28" s="40" t="n">
        <f aca="false">$E28/12*R28*IF(AND($J28=1,AD$5&gt;=Assumptions!$B$18),1+Assumptions!$B$17,1)</f>
        <v>12031.875</v>
      </c>
      <c r="AE28" s="40" t="n">
        <f aca="false">$E28/12*S28*IF(AND($J28=1,AE$5&gt;=Assumptions!$B$18),1+Assumptions!$B$17,1)</f>
        <v>12031.875</v>
      </c>
      <c r="AF28" s="40" t="n">
        <f aca="false">$E28/12*T28*IF(AND($J28=1,AF$5&gt;=Assumptions!$B$18),1+Assumptions!$B$17,1)</f>
        <v>12031.875</v>
      </c>
      <c r="AG28" s="40" t="n">
        <f aca="false">$E28/12*U28*IF(AND($J28=1,AG$5&gt;=Assumptions!$B$18),1+Assumptions!$B$17,1)</f>
        <v>12031.875</v>
      </c>
      <c r="AH28" s="40" t="n">
        <f aca="false">$E28/12*V28*IF(AND($J28=1,AH$5&gt;=Assumptions!$B$18),1+Assumptions!$B$17,1)</f>
        <v>12031.875</v>
      </c>
    </row>
    <row r="29" customFormat="false" ht="15" hidden="false" customHeight="true" outlineLevel="0" collapsed="false">
      <c r="A29" s="13" t="str">
        <f aca="false">Roster!A29</f>
        <v>PRD-104</v>
      </c>
      <c r="B29" s="13" t="str">
        <f aca="false">Roster!B29</f>
        <v>Product</v>
      </c>
      <c r="C29" s="13" t="str">
        <f aca="false">Roster!E29</f>
        <v>Existing</v>
      </c>
      <c r="D29" s="34" t="n">
        <f aca="false">Roster!D29</f>
        <v>3</v>
      </c>
      <c r="E29" s="35" t="n">
        <f aca="false">Roster!F29</f>
        <v>145000</v>
      </c>
      <c r="F29" s="36" t="n">
        <f aca="false">IF(Roster!E29="Open role",MAX(Assumptions!$B$14,EDATE(Roster!G29,IF(Roster!I29=2,Assumptions!$F$10,0)-Assumptions!$F$9)),Roster!G29)</f>
        <v>46266</v>
      </c>
      <c r="G29" s="36" t="n">
        <f aca="false">IF(Roster!H29="",DATE(2099,12,31),Roster!H29)</f>
        <v>73050</v>
      </c>
      <c r="H29" s="37" t="n">
        <f aca="false">IF(Roster!E29="Existing",1,IF(Roster!I29&lt;=Assumptions!$F$8,1,0))</f>
        <v>1</v>
      </c>
      <c r="I29" s="38" t="n">
        <f aca="false">IF(B29="Sales",Assumptions!$B$23,VLOOKUP(D29,Assumptions!$A$27:$B$31,2,FALSE()))</f>
        <v>0.1</v>
      </c>
      <c r="J29" s="37" t="n">
        <f aca="false">IF(F29&lt;Assumptions!$B$14,1,0)</f>
        <v>1</v>
      </c>
      <c r="K29" s="39" t="n">
        <f aca="false">IF($H29=1,MAX(0,MIN($G29,EOMONTH(K$5,0))-MAX($F29,K$5)+1)/DAY(EOMONTH(K$5,0)),0)</f>
        <v>1</v>
      </c>
      <c r="L29" s="39" t="n">
        <f aca="false">IF($H29=1,MAX(0,MIN($G29,EOMONTH(L$5,0))-MAX($F29,L$5)+1)/DAY(EOMONTH(L$5,0)),0)</f>
        <v>1</v>
      </c>
      <c r="M29" s="39" t="n">
        <f aca="false">IF($H29=1,MAX(0,MIN($G29,EOMONTH(M$5,0))-MAX($F29,M$5)+1)/DAY(EOMONTH(M$5,0)),0)</f>
        <v>1</v>
      </c>
      <c r="N29" s="39" t="n">
        <f aca="false">IF($H29=1,MAX(0,MIN($G29,EOMONTH(N$5,0))-MAX($F29,N$5)+1)/DAY(EOMONTH(N$5,0)),0)</f>
        <v>1</v>
      </c>
      <c r="O29" s="39" t="n">
        <f aca="false">IF($H29=1,MAX(0,MIN($G29,EOMONTH(O$5,0))-MAX($F29,O$5)+1)/DAY(EOMONTH(O$5,0)),0)</f>
        <v>1</v>
      </c>
      <c r="P29" s="39" t="n">
        <f aca="false">IF($H29=1,MAX(0,MIN($G29,EOMONTH(P$5,0))-MAX($F29,P$5)+1)/DAY(EOMONTH(P$5,0)),0)</f>
        <v>1</v>
      </c>
      <c r="Q29" s="39" t="n">
        <f aca="false">IF($H29=1,MAX(0,MIN($G29,EOMONTH(Q$5,0))-MAX($F29,Q$5)+1)/DAY(EOMONTH(Q$5,0)),0)</f>
        <v>1</v>
      </c>
      <c r="R29" s="39" t="n">
        <f aca="false">IF($H29=1,MAX(0,MIN($G29,EOMONTH(R$5,0))-MAX($F29,R$5)+1)/DAY(EOMONTH(R$5,0)),0)</f>
        <v>1</v>
      </c>
      <c r="S29" s="39" t="n">
        <f aca="false">IF($H29=1,MAX(0,MIN($G29,EOMONTH(S$5,0))-MAX($F29,S$5)+1)/DAY(EOMONTH(S$5,0)),0)</f>
        <v>1</v>
      </c>
      <c r="T29" s="39" t="n">
        <f aca="false">IF($H29=1,MAX(0,MIN($G29,EOMONTH(T$5,0))-MAX($F29,T$5)+1)/DAY(EOMONTH(T$5,0)),0)</f>
        <v>1</v>
      </c>
      <c r="U29" s="39" t="n">
        <f aca="false">IF($H29=1,MAX(0,MIN($G29,EOMONTH(U$5,0))-MAX($F29,U$5)+1)/DAY(EOMONTH(U$5,0)),0)</f>
        <v>1</v>
      </c>
      <c r="V29" s="39" t="n">
        <f aca="false">IF($H29=1,MAX(0,MIN($G29,EOMONTH(V$5,0))-MAX($F29,V$5)+1)/DAY(EOMONTH(V$5,0)),0)</f>
        <v>1</v>
      </c>
      <c r="W29" s="40" t="n">
        <f aca="false">$E29/12*K29*IF(AND($J29=1,W$5&gt;=Assumptions!$B$18),1+Assumptions!$B$17,1)</f>
        <v>12083.3333333333</v>
      </c>
      <c r="X29" s="40" t="n">
        <f aca="false">$E29/12*L29*IF(AND($J29=1,X$5&gt;=Assumptions!$B$18),1+Assumptions!$B$17,1)</f>
        <v>12083.3333333333</v>
      </c>
      <c r="Y29" s="40" t="n">
        <f aca="false">$E29/12*M29*IF(AND($J29=1,Y$5&gt;=Assumptions!$B$18),1+Assumptions!$B$17,1)</f>
        <v>12083.3333333333</v>
      </c>
      <c r="Z29" s="40" t="n">
        <f aca="false">$E29/12*N29*IF(AND($J29=1,Z$5&gt;=Assumptions!$B$18),1+Assumptions!$B$17,1)</f>
        <v>12506.25</v>
      </c>
      <c r="AA29" s="40" t="n">
        <f aca="false">$E29/12*O29*IF(AND($J29=1,AA$5&gt;=Assumptions!$B$18),1+Assumptions!$B$17,1)</f>
        <v>12506.25</v>
      </c>
      <c r="AB29" s="40" t="n">
        <f aca="false">$E29/12*P29*IF(AND($J29=1,AB$5&gt;=Assumptions!$B$18),1+Assumptions!$B$17,1)</f>
        <v>12506.25</v>
      </c>
      <c r="AC29" s="40" t="n">
        <f aca="false">$E29/12*Q29*IF(AND($J29=1,AC$5&gt;=Assumptions!$B$18),1+Assumptions!$B$17,1)</f>
        <v>12506.25</v>
      </c>
      <c r="AD29" s="40" t="n">
        <f aca="false">$E29/12*R29*IF(AND($J29=1,AD$5&gt;=Assumptions!$B$18),1+Assumptions!$B$17,1)</f>
        <v>12506.25</v>
      </c>
      <c r="AE29" s="40" t="n">
        <f aca="false">$E29/12*S29*IF(AND($J29=1,AE$5&gt;=Assumptions!$B$18),1+Assumptions!$B$17,1)</f>
        <v>12506.25</v>
      </c>
      <c r="AF29" s="40" t="n">
        <f aca="false">$E29/12*T29*IF(AND($J29=1,AF$5&gt;=Assumptions!$B$18),1+Assumptions!$B$17,1)</f>
        <v>12506.25</v>
      </c>
      <c r="AG29" s="40" t="n">
        <f aca="false">$E29/12*U29*IF(AND($J29=1,AG$5&gt;=Assumptions!$B$18),1+Assumptions!$B$17,1)</f>
        <v>12506.25</v>
      </c>
      <c r="AH29" s="40" t="n">
        <f aca="false">$E29/12*V29*IF(AND($J29=1,AH$5&gt;=Assumptions!$B$18),1+Assumptions!$B$17,1)</f>
        <v>12506.25</v>
      </c>
    </row>
    <row r="30" customFormat="false" ht="15" hidden="false" customHeight="true" outlineLevel="0" collapsed="false">
      <c r="A30" s="13" t="str">
        <f aca="false">Roster!A30</f>
        <v>PRD-105</v>
      </c>
      <c r="B30" s="13" t="str">
        <f aca="false">Roster!B30</f>
        <v>Product</v>
      </c>
      <c r="C30" s="13" t="str">
        <f aca="false">Roster!E30</f>
        <v>Existing</v>
      </c>
      <c r="D30" s="34" t="n">
        <f aca="false">Roster!D30</f>
        <v>5</v>
      </c>
      <c r="E30" s="35" t="n">
        <f aca="false">Roster!F30</f>
        <v>242000</v>
      </c>
      <c r="F30" s="36" t="n">
        <f aca="false">IF(Roster!E30="Open role",MAX(Assumptions!$B$14,EDATE(Roster!G30,IF(Roster!I30=2,Assumptions!$F$10,0)-Assumptions!$F$9)),Roster!G30)</f>
        <v>44228</v>
      </c>
      <c r="G30" s="36" t="n">
        <f aca="false">IF(Roster!H30="",DATE(2099,12,31),Roster!H30)</f>
        <v>73050</v>
      </c>
      <c r="H30" s="37" t="n">
        <f aca="false">IF(Roster!E30="Existing",1,IF(Roster!I30&lt;=Assumptions!$F$8,1,0))</f>
        <v>1</v>
      </c>
      <c r="I30" s="38" t="n">
        <f aca="false">IF(B30="Sales",Assumptions!$B$23,VLOOKUP(D30,Assumptions!$A$27:$B$31,2,FALSE()))</f>
        <v>0.2</v>
      </c>
      <c r="J30" s="37" t="n">
        <f aca="false">IF(F30&lt;Assumptions!$B$14,1,0)</f>
        <v>1</v>
      </c>
      <c r="K30" s="39" t="n">
        <f aca="false">IF($H30=1,MAX(0,MIN($G30,EOMONTH(K$5,0))-MAX($F30,K$5)+1)/DAY(EOMONTH(K$5,0)),0)</f>
        <v>1</v>
      </c>
      <c r="L30" s="39" t="n">
        <f aca="false">IF($H30=1,MAX(0,MIN($G30,EOMONTH(L$5,0))-MAX($F30,L$5)+1)/DAY(EOMONTH(L$5,0)),0)</f>
        <v>1</v>
      </c>
      <c r="M30" s="39" t="n">
        <f aca="false">IF($H30=1,MAX(0,MIN($G30,EOMONTH(M$5,0))-MAX($F30,M$5)+1)/DAY(EOMONTH(M$5,0)),0)</f>
        <v>1</v>
      </c>
      <c r="N30" s="39" t="n">
        <f aca="false">IF($H30=1,MAX(0,MIN($G30,EOMONTH(N$5,0))-MAX($F30,N$5)+1)/DAY(EOMONTH(N$5,0)),0)</f>
        <v>1</v>
      </c>
      <c r="O30" s="39" t="n">
        <f aca="false">IF($H30=1,MAX(0,MIN($G30,EOMONTH(O$5,0))-MAX($F30,O$5)+1)/DAY(EOMONTH(O$5,0)),0)</f>
        <v>1</v>
      </c>
      <c r="P30" s="39" t="n">
        <f aca="false">IF($H30=1,MAX(0,MIN($G30,EOMONTH(P$5,0))-MAX($F30,P$5)+1)/DAY(EOMONTH(P$5,0)),0)</f>
        <v>1</v>
      </c>
      <c r="Q30" s="39" t="n">
        <f aca="false">IF($H30=1,MAX(0,MIN($G30,EOMONTH(Q$5,0))-MAX($F30,Q$5)+1)/DAY(EOMONTH(Q$5,0)),0)</f>
        <v>1</v>
      </c>
      <c r="R30" s="39" t="n">
        <f aca="false">IF($H30=1,MAX(0,MIN($G30,EOMONTH(R$5,0))-MAX($F30,R$5)+1)/DAY(EOMONTH(R$5,0)),0)</f>
        <v>1</v>
      </c>
      <c r="S30" s="39" t="n">
        <f aca="false">IF($H30=1,MAX(0,MIN($G30,EOMONTH(S$5,0))-MAX($F30,S$5)+1)/DAY(EOMONTH(S$5,0)),0)</f>
        <v>1</v>
      </c>
      <c r="T30" s="39" t="n">
        <f aca="false">IF($H30=1,MAX(0,MIN($G30,EOMONTH(T$5,0))-MAX($F30,T$5)+1)/DAY(EOMONTH(T$5,0)),0)</f>
        <v>1</v>
      </c>
      <c r="U30" s="39" t="n">
        <f aca="false">IF($H30=1,MAX(0,MIN($G30,EOMONTH(U$5,0))-MAX($F30,U$5)+1)/DAY(EOMONTH(U$5,0)),0)</f>
        <v>1</v>
      </c>
      <c r="V30" s="39" t="n">
        <f aca="false">IF($H30=1,MAX(0,MIN($G30,EOMONTH(V$5,0))-MAX($F30,V$5)+1)/DAY(EOMONTH(V$5,0)),0)</f>
        <v>1</v>
      </c>
      <c r="W30" s="40" t="n">
        <f aca="false">$E30/12*K30*IF(AND($J30=1,W$5&gt;=Assumptions!$B$18),1+Assumptions!$B$17,1)</f>
        <v>20166.6666666667</v>
      </c>
      <c r="X30" s="40" t="n">
        <f aca="false">$E30/12*L30*IF(AND($J30=1,X$5&gt;=Assumptions!$B$18),1+Assumptions!$B$17,1)</f>
        <v>20166.6666666667</v>
      </c>
      <c r="Y30" s="40" t="n">
        <f aca="false">$E30/12*M30*IF(AND($J30=1,Y$5&gt;=Assumptions!$B$18),1+Assumptions!$B$17,1)</f>
        <v>20166.6666666667</v>
      </c>
      <c r="Z30" s="40" t="n">
        <f aca="false">$E30/12*N30*IF(AND($J30=1,Z$5&gt;=Assumptions!$B$18),1+Assumptions!$B$17,1)</f>
        <v>20872.5</v>
      </c>
      <c r="AA30" s="40" t="n">
        <f aca="false">$E30/12*O30*IF(AND($J30=1,AA$5&gt;=Assumptions!$B$18),1+Assumptions!$B$17,1)</f>
        <v>20872.5</v>
      </c>
      <c r="AB30" s="40" t="n">
        <f aca="false">$E30/12*P30*IF(AND($J30=1,AB$5&gt;=Assumptions!$B$18),1+Assumptions!$B$17,1)</f>
        <v>20872.5</v>
      </c>
      <c r="AC30" s="40" t="n">
        <f aca="false">$E30/12*Q30*IF(AND($J30=1,AC$5&gt;=Assumptions!$B$18),1+Assumptions!$B$17,1)</f>
        <v>20872.5</v>
      </c>
      <c r="AD30" s="40" t="n">
        <f aca="false">$E30/12*R30*IF(AND($J30=1,AD$5&gt;=Assumptions!$B$18),1+Assumptions!$B$17,1)</f>
        <v>20872.5</v>
      </c>
      <c r="AE30" s="40" t="n">
        <f aca="false">$E30/12*S30*IF(AND($J30=1,AE$5&gt;=Assumptions!$B$18),1+Assumptions!$B$17,1)</f>
        <v>20872.5</v>
      </c>
      <c r="AF30" s="40" t="n">
        <f aca="false">$E30/12*T30*IF(AND($J30=1,AF$5&gt;=Assumptions!$B$18),1+Assumptions!$B$17,1)</f>
        <v>20872.5</v>
      </c>
      <c r="AG30" s="40" t="n">
        <f aca="false">$E30/12*U30*IF(AND($J30=1,AG$5&gt;=Assumptions!$B$18),1+Assumptions!$B$17,1)</f>
        <v>20872.5</v>
      </c>
      <c r="AH30" s="40" t="n">
        <f aca="false">$E30/12*V30*IF(AND($J30=1,AH$5&gt;=Assumptions!$B$18),1+Assumptions!$B$17,1)</f>
        <v>20872.5</v>
      </c>
    </row>
    <row r="31" customFormat="false" ht="15" hidden="false" customHeight="true" outlineLevel="0" collapsed="false">
      <c r="A31" s="13" t="str">
        <f aca="false">Roster!A31</f>
        <v>SLS-101</v>
      </c>
      <c r="B31" s="13" t="str">
        <f aca="false">Roster!B31</f>
        <v>Sales</v>
      </c>
      <c r="C31" s="13" t="str">
        <f aca="false">Roster!E31</f>
        <v>Existing</v>
      </c>
      <c r="D31" s="34" t="n">
        <f aca="false">Roster!D31</f>
        <v>1</v>
      </c>
      <c r="E31" s="35" t="n">
        <f aca="false">Roster!F31</f>
        <v>63000</v>
      </c>
      <c r="F31" s="36" t="n">
        <f aca="false">IF(Roster!E31="Open role",MAX(Assumptions!$B$14,EDATE(Roster!G31,IF(Roster!I31=2,Assumptions!$F$10,0)-Assumptions!$F$9)),Roster!G31)</f>
        <v>43983</v>
      </c>
      <c r="G31" s="36" t="n">
        <f aca="false">IF(Roster!H31="",DATE(2099,12,31),Roster!H31)</f>
        <v>73050</v>
      </c>
      <c r="H31" s="37" t="n">
        <f aca="false">IF(Roster!E31="Existing",1,IF(Roster!I31&lt;=Assumptions!$F$8,1,0))</f>
        <v>1</v>
      </c>
      <c r="I31" s="38" t="n">
        <f aca="false">IF(B31="Sales",Assumptions!$B$23,VLOOKUP(D31,Assumptions!$A$27:$B$31,2,FALSE()))</f>
        <v>0.3</v>
      </c>
      <c r="J31" s="37" t="n">
        <f aca="false">IF(F31&lt;Assumptions!$B$14,1,0)</f>
        <v>1</v>
      </c>
      <c r="K31" s="39" t="n">
        <f aca="false">IF($H31=1,MAX(0,MIN($G31,EOMONTH(K$5,0))-MAX($F31,K$5)+1)/DAY(EOMONTH(K$5,0)),0)</f>
        <v>1</v>
      </c>
      <c r="L31" s="39" t="n">
        <f aca="false">IF($H31=1,MAX(0,MIN($G31,EOMONTH(L$5,0))-MAX($F31,L$5)+1)/DAY(EOMONTH(L$5,0)),0)</f>
        <v>1</v>
      </c>
      <c r="M31" s="39" t="n">
        <f aca="false">IF($H31=1,MAX(0,MIN($G31,EOMONTH(M$5,0))-MAX($F31,M$5)+1)/DAY(EOMONTH(M$5,0)),0)</f>
        <v>1</v>
      </c>
      <c r="N31" s="39" t="n">
        <f aca="false">IF($H31=1,MAX(0,MIN($G31,EOMONTH(N$5,0))-MAX($F31,N$5)+1)/DAY(EOMONTH(N$5,0)),0)</f>
        <v>1</v>
      </c>
      <c r="O31" s="39" t="n">
        <f aca="false">IF($H31=1,MAX(0,MIN($G31,EOMONTH(O$5,0))-MAX($F31,O$5)+1)/DAY(EOMONTH(O$5,0)),0)</f>
        <v>1</v>
      </c>
      <c r="P31" s="39" t="n">
        <f aca="false">IF($H31=1,MAX(0,MIN($G31,EOMONTH(P$5,0))-MAX($F31,P$5)+1)/DAY(EOMONTH(P$5,0)),0)</f>
        <v>1</v>
      </c>
      <c r="Q31" s="39" t="n">
        <f aca="false">IF($H31=1,MAX(0,MIN($G31,EOMONTH(Q$5,0))-MAX($F31,Q$5)+1)/DAY(EOMONTH(Q$5,0)),0)</f>
        <v>1</v>
      </c>
      <c r="R31" s="39" t="n">
        <f aca="false">IF($H31=1,MAX(0,MIN($G31,EOMONTH(R$5,0))-MAX($F31,R$5)+1)/DAY(EOMONTH(R$5,0)),0)</f>
        <v>1</v>
      </c>
      <c r="S31" s="39" t="n">
        <f aca="false">IF($H31=1,MAX(0,MIN($G31,EOMONTH(S$5,0))-MAX($F31,S$5)+1)/DAY(EOMONTH(S$5,0)),0)</f>
        <v>1</v>
      </c>
      <c r="T31" s="39" t="n">
        <f aca="false">IF($H31=1,MAX(0,MIN($G31,EOMONTH(T$5,0))-MAX($F31,T$5)+1)/DAY(EOMONTH(T$5,0)),0)</f>
        <v>1</v>
      </c>
      <c r="U31" s="39" t="n">
        <f aca="false">IF($H31=1,MAX(0,MIN($G31,EOMONTH(U$5,0))-MAX($F31,U$5)+1)/DAY(EOMONTH(U$5,0)),0)</f>
        <v>1</v>
      </c>
      <c r="V31" s="39" t="n">
        <f aca="false">IF($H31=1,MAX(0,MIN($G31,EOMONTH(V$5,0))-MAX($F31,V$5)+1)/DAY(EOMONTH(V$5,0)),0)</f>
        <v>1</v>
      </c>
      <c r="W31" s="40" t="n">
        <f aca="false">$E31/12*K31*IF(AND($J31=1,W$5&gt;=Assumptions!$B$18),1+Assumptions!$B$17,1)</f>
        <v>5250</v>
      </c>
      <c r="X31" s="40" t="n">
        <f aca="false">$E31/12*L31*IF(AND($J31=1,X$5&gt;=Assumptions!$B$18),1+Assumptions!$B$17,1)</f>
        <v>5250</v>
      </c>
      <c r="Y31" s="40" t="n">
        <f aca="false">$E31/12*M31*IF(AND($J31=1,Y$5&gt;=Assumptions!$B$18),1+Assumptions!$B$17,1)</f>
        <v>5250</v>
      </c>
      <c r="Z31" s="40" t="n">
        <f aca="false">$E31/12*N31*IF(AND($J31=1,Z$5&gt;=Assumptions!$B$18),1+Assumptions!$B$17,1)</f>
        <v>5433.75</v>
      </c>
      <c r="AA31" s="40" t="n">
        <f aca="false">$E31/12*O31*IF(AND($J31=1,AA$5&gt;=Assumptions!$B$18),1+Assumptions!$B$17,1)</f>
        <v>5433.75</v>
      </c>
      <c r="AB31" s="40" t="n">
        <f aca="false">$E31/12*P31*IF(AND($J31=1,AB$5&gt;=Assumptions!$B$18),1+Assumptions!$B$17,1)</f>
        <v>5433.75</v>
      </c>
      <c r="AC31" s="40" t="n">
        <f aca="false">$E31/12*Q31*IF(AND($J31=1,AC$5&gt;=Assumptions!$B$18),1+Assumptions!$B$17,1)</f>
        <v>5433.75</v>
      </c>
      <c r="AD31" s="40" t="n">
        <f aca="false">$E31/12*R31*IF(AND($J31=1,AD$5&gt;=Assumptions!$B$18),1+Assumptions!$B$17,1)</f>
        <v>5433.75</v>
      </c>
      <c r="AE31" s="40" t="n">
        <f aca="false">$E31/12*S31*IF(AND($J31=1,AE$5&gt;=Assumptions!$B$18),1+Assumptions!$B$17,1)</f>
        <v>5433.75</v>
      </c>
      <c r="AF31" s="40" t="n">
        <f aca="false">$E31/12*T31*IF(AND($J31=1,AF$5&gt;=Assumptions!$B$18),1+Assumptions!$B$17,1)</f>
        <v>5433.75</v>
      </c>
      <c r="AG31" s="40" t="n">
        <f aca="false">$E31/12*U31*IF(AND($J31=1,AG$5&gt;=Assumptions!$B$18),1+Assumptions!$B$17,1)</f>
        <v>5433.75</v>
      </c>
      <c r="AH31" s="40" t="n">
        <f aca="false">$E31/12*V31*IF(AND($J31=1,AH$5&gt;=Assumptions!$B$18),1+Assumptions!$B$17,1)</f>
        <v>5433.75</v>
      </c>
    </row>
    <row r="32" customFormat="false" ht="15" hidden="false" customHeight="true" outlineLevel="0" collapsed="false">
      <c r="A32" s="13" t="str">
        <f aca="false">Roster!A32</f>
        <v>SLS-102</v>
      </c>
      <c r="B32" s="13" t="str">
        <f aca="false">Roster!B32</f>
        <v>Sales</v>
      </c>
      <c r="C32" s="13" t="str">
        <f aca="false">Roster!E32</f>
        <v>Existing</v>
      </c>
      <c r="D32" s="34" t="n">
        <f aca="false">Roster!D32</f>
        <v>1</v>
      </c>
      <c r="E32" s="35" t="n">
        <f aca="false">Roster!F32</f>
        <v>61000</v>
      </c>
      <c r="F32" s="36" t="n">
        <f aca="false">IF(Roster!E32="Open role",MAX(Assumptions!$B$14,EDATE(Roster!G32,IF(Roster!I32=2,Assumptions!$F$10,0)-Assumptions!$F$9)),Roster!G32)</f>
        <v>45231</v>
      </c>
      <c r="G32" s="36" t="n">
        <f aca="false">IF(Roster!H32="",DATE(2099,12,31),Roster!H32)</f>
        <v>73050</v>
      </c>
      <c r="H32" s="37" t="n">
        <f aca="false">IF(Roster!E32="Existing",1,IF(Roster!I32&lt;=Assumptions!$F$8,1,0))</f>
        <v>1</v>
      </c>
      <c r="I32" s="38" t="n">
        <f aca="false">IF(B32="Sales",Assumptions!$B$23,VLOOKUP(D32,Assumptions!$A$27:$B$31,2,FALSE()))</f>
        <v>0.3</v>
      </c>
      <c r="J32" s="37" t="n">
        <f aca="false">IF(F32&lt;Assumptions!$B$14,1,0)</f>
        <v>1</v>
      </c>
      <c r="K32" s="39" t="n">
        <f aca="false">IF($H32=1,MAX(0,MIN($G32,EOMONTH(K$5,0))-MAX($F32,K$5)+1)/DAY(EOMONTH(K$5,0)),0)</f>
        <v>1</v>
      </c>
      <c r="L32" s="39" t="n">
        <f aca="false">IF($H32=1,MAX(0,MIN($G32,EOMONTH(L$5,0))-MAX($F32,L$5)+1)/DAY(EOMONTH(L$5,0)),0)</f>
        <v>1</v>
      </c>
      <c r="M32" s="39" t="n">
        <f aca="false">IF($H32=1,MAX(0,MIN($G32,EOMONTH(M$5,0))-MAX($F32,M$5)+1)/DAY(EOMONTH(M$5,0)),0)</f>
        <v>1</v>
      </c>
      <c r="N32" s="39" t="n">
        <f aca="false">IF($H32=1,MAX(0,MIN($G32,EOMONTH(N$5,0))-MAX($F32,N$5)+1)/DAY(EOMONTH(N$5,0)),0)</f>
        <v>1</v>
      </c>
      <c r="O32" s="39" t="n">
        <f aca="false">IF($H32=1,MAX(0,MIN($G32,EOMONTH(O$5,0))-MAX($F32,O$5)+1)/DAY(EOMONTH(O$5,0)),0)</f>
        <v>1</v>
      </c>
      <c r="P32" s="39" t="n">
        <f aca="false">IF($H32=1,MAX(0,MIN($G32,EOMONTH(P$5,0))-MAX($F32,P$5)+1)/DAY(EOMONTH(P$5,0)),0)</f>
        <v>1</v>
      </c>
      <c r="Q32" s="39" t="n">
        <f aca="false">IF($H32=1,MAX(0,MIN($G32,EOMONTH(Q$5,0))-MAX($F32,Q$5)+1)/DAY(EOMONTH(Q$5,0)),0)</f>
        <v>1</v>
      </c>
      <c r="R32" s="39" t="n">
        <f aca="false">IF($H32=1,MAX(0,MIN($G32,EOMONTH(R$5,0))-MAX($F32,R$5)+1)/DAY(EOMONTH(R$5,0)),0)</f>
        <v>1</v>
      </c>
      <c r="S32" s="39" t="n">
        <f aca="false">IF($H32=1,MAX(0,MIN($G32,EOMONTH(S$5,0))-MAX($F32,S$5)+1)/DAY(EOMONTH(S$5,0)),0)</f>
        <v>1</v>
      </c>
      <c r="T32" s="39" t="n">
        <f aca="false">IF($H32=1,MAX(0,MIN($G32,EOMONTH(T$5,0))-MAX($F32,T$5)+1)/DAY(EOMONTH(T$5,0)),0)</f>
        <v>1</v>
      </c>
      <c r="U32" s="39" t="n">
        <f aca="false">IF($H32=1,MAX(0,MIN($G32,EOMONTH(U$5,0))-MAX($F32,U$5)+1)/DAY(EOMONTH(U$5,0)),0)</f>
        <v>1</v>
      </c>
      <c r="V32" s="39" t="n">
        <f aca="false">IF($H32=1,MAX(0,MIN($G32,EOMONTH(V$5,0))-MAX($F32,V$5)+1)/DAY(EOMONTH(V$5,0)),0)</f>
        <v>1</v>
      </c>
      <c r="W32" s="40" t="n">
        <f aca="false">$E32/12*K32*IF(AND($J32=1,W$5&gt;=Assumptions!$B$18),1+Assumptions!$B$17,1)</f>
        <v>5083.33333333333</v>
      </c>
      <c r="X32" s="40" t="n">
        <f aca="false">$E32/12*L32*IF(AND($J32=1,X$5&gt;=Assumptions!$B$18),1+Assumptions!$B$17,1)</f>
        <v>5083.33333333333</v>
      </c>
      <c r="Y32" s="40" t="n">
        <f aca="false">$E32/12*M32*IF(AND($J32=1,Y$5&gt;=Assumptions!$B$18),1+Assumptions!$B$17,1)</f>
        <v>5083.33333333333</v>
      </c>
      <c r="Z32" s="40" t="n">
        <f aca="false">$E32/12*N32*IF(AND($J32=1,Z$5&gt;=Assumptions!$B$18),1+Assumptions!$B$17,1)</f>
        <v>5261.25</v>
      </c>
      <c r="AA32" s="40" t="n">
        <f aca="false">$E32/12*O32*IF(AND($J32=1,AA$5&gt;=Assumptions!$B$18),1+Assumptions!$B$17,1)</f>
        <v>5261.25</v>
      </c>
      <c r="AB32" s="40" t="n">
        <f aca="false">$E32/12*P32*IF(AND($J32=1,AB$5&gt;=Assumptions!$B$18),1+Assumptions!$B$17,1)</f>
        <v>5261.25</v>
      </c>
      <c r="AC32" s="40" t="n">
        <f aca="false">$E32/12*Q32*IF(AND($J32=1,AC$5&gt;=Assumptions!$B$18),1+Assumptions!$B$17,1)</f>
        <v>5261.25</v>
      </c>
      <c r="AD32" s="40" t="n">
        <f aca="false">$E32/12*R32*IF(AND($J32=1,AD$5&gt;=Assumptions!$B$18),1+Assumptions!$B$17,1)</f>
        <v>5261.25</v>
      </c>
      <c r="AE32" s="40" t="n">
        <f aca="false">$E32/12*S32*IF(AND($J32=1,AE$5&gt;=Assumptions!$B$18),1+Assumptions!$B$17,1)</f>
        <v>5261.25</v>
      </c>
      <c r="AF32" s="40" t="n">
        <f aca="false">$E32/12*T32*IF(AND($J32=1,AF$5&gt;=Assumptions!$B$18),1+Assumptions!$B$17,1)</f>
        <v>5261.25</v>
      </c>
      <c r="AG32" s="40" t="n">
        <f aca="false">$E32/12*U32*IF(AND($J32=1,AG$5&gt;=Assumptions!$B$18),1+Assumptions!$B$17,1)</f>
        <v>5261.25</v>
      </c>
      <c r="AH32" s="40" t="n">
        <f aca="false">$E32/12*V32*IF(AND($J32=1,AH$5&gt;=Assumptions!$B$18),1+Assumptions!$B$17,1)</f>
        <v>5261.25</v>
      </c>
    </row>
    <row r="33" customFormat="false" ht="15" hidden="false" customHeight="true" outlineLevel="0" collapsed="false">
      <c r="A33" s="13" t="str">
        <f aca="false">Roster!A33</f>
        <v>SLS-103</v>
      </c>
      <c r="B33" s="13" t="str">
        <f aca="false">Roster!B33</f>
        <v>Sales</v>
      </c>
      <c r="C33" s="13" t="str">
        <f aca="false">Roster!E33</f>
        <v>Existing</v>
      </c>
      <c r="D33" s="34" t="n">
        <f aca="false">Roster!D33</f>
        <v>1</v>
      </c>
      <c r="E33" s="35" t="n">
        <f aca="false">Roster!F33</f>
        <v>62500</v>
      </c>
      <c r="F33" s="36" t="n">
        <f aca="false">IF(Roster!E33="Open role",MAX(Assumptions!$B$14,EDATE(Roster!G33,IF(Roster!I33=2,Assumptions!$F$10,0)-Assumptions!$F$9)),Roster!G33)</f>
        <v>46113</v>
      </c>
      <c r="G33" s="36" t="n">
        <f aca="false">IF(Roster!H33="",DATE(2099,12,31),Roster!H33)</f>
        <v>73050</v>
      </c>
      <c r="H33" s="37" t="n">
        <f aca="false">IF(Roster!E33="Existing",1,IF(Roster!I33&lt;=Assumptions!$F$8,1,0))</f>
        <v>1</v>
      </c>
      <c r="I33" s="38" t="n">
        <f aca="false">IF(B33="Sales",Assumptions!$B$23,VLOOKUP(D33,Assumptions!$A$27:$B$31,2,FALSE()))</f>
        <v>0.3</v>
      </c>
      <c r="J33" s="37" t="n">
        <f aca="false">IF(F33&lt;Assumptions!$B$14,1,0)</f>
        <v>1</v>
      </c>
      <c r="K33" s="39" t="n">
        <f aca="false">IF($H33=1,MAX(0,MIN($G33,EOMONTH(K$5,0))-MAX($F33,K$5)+1)/DAY(EOMONTH(K$5,0)),0)</f>
        <v>1</v>
      </c>
      <c r="L33" s="39" t="n">
        <f aca="false">IF($H33=1,MAX(0,MIN($G33,EOMONTH(L$5,0))-MAX($F33,L$5)+1)/DAY(EOMONTH(L$5,0)),0)</f>
        <v>1</v>
      </c>
      <c r="M33" s="39" t="n">
        <f aca="false">IF($H33=1,MAX(0,MIN($G33,EOMONTH(M$5,0))-MAX($F33,M$5)+1)/DAY(EOMONTH(M$5,0)),0)</f>
        <v>1</v>
      </c>
      <c r="N33" s="39" t="n">
        <f aca="false">IF($H33=1,MAX(0,MIN($G33,EOMONTH(N$5,0))-MAX($F33,N$5)+1)/DAY(EOMONTH(N$5,0)),0)</f>
        <v>1</v>
      </c>
      <c r="O33" s="39" t="n">
        <f aca="false">IF($H33=1,MAX(0,MIN($G33,EOMONTH(O$5,0))-MAX($F33,O$5)+1)/DAY(EOMONTH(O$5,0)),0)</f>
        <v>1</v>
      </c>
      <c r="P33" s="39" t="n">
        <f aca="false">IF($H33=1,MAX(0,MIN($G33,EOMONTH(P$5,0))-MAX($F33,P$5)+1)/DAY(EOMONTH(P$5,0)),0)</f>
        <v>1</v>
      </c>
      <c r="Q33" s="39" t="n">
        <f aca="false">IF($H33=1,MAX(0,MIN($G33,EOMONTH(Q$5,0))-MAX($F33,Q$5)+1)/DAY(EOMONTH(Q$5,0)),0)</f>
        <v>1</v>
      </c>
      <c r="R33" s="39" t="n">
        <f aca="false">IF($H33=1,MAX(0,MIN($G33,EOMONTH(R$5,0))-MAX($F33,R$5)+1)/DAY(EOMONTH(R$5,0)),0)</f>
        <v>1</v>
      </c>
      <c r="S33" s="39" t="n">
        <f aca="false">IF($H33=1,MAX(0,MIN($G33,EOMONTH(S$5,0))-MAX($F33,S$5)+1)/DAY(EOMONTH(S$5,0)),0)</f>
        <v>1</v>
      </c>
      <c r="T33" s="39" t="n">
        <f aca="false">IF($H33=1,MAX(0,MIN($G33,EOMONTH(T$5,0))-MAX($F33,T$5)+1)/DAY(EOMONTH(T$5,0)),0)</f>
        <v>1</v>
      </c>
      <c r="U33" s="39" t="n">
        <f aca="false">IF($H33=1,MAX(0,MIN($G33,EOMONTH(U$5,0))-MAX($F33,U$5)+1)/DAY(EOMONTH(U$5,0)),0)</f>
        <v>1</v>
      </c>
      <c r="V33" s="39" t="n">
        <f aca="false">IF($H33=1,MAX(0,MIN($G33,EOMONTH(V$5,0))-MAX($F33,V$5)+1)/DAY(EOMONTH(V$5,0)),0)</f>
        <v>1</v>
      </c>
      <c r="W33" s="40" t="n">
        <f aca="false">$E33/12*K33*IF(AND($J33=1,W$5&gt;=Assumptions!$B$18),1+Assumptions!$B$17,1)</f>
        <v>5208.33333333333</v>
      </c>
      <c r="X33" s="40" t="n">
        <f aca="false">$E33/12*L33*IF(AND($J33=1,X$5&gt;=Assumptions!$B$18),1+Assumptions!$B$17,1)</f>
        <v>5208.33333333333</v>
      </c>
      <c r="Y33" s="40" t="n">
        <f aca="false">$E33/12*M33*IF(AND($J33=1,Y$5&gt;=Assumptions!$B$18),1+Assumptions!$B$17,1)</f>
        <v>5208.33333333333</v>
      </c>
      <c r="Z33" s="40" t="n">
        <f aca="false">$E33/12*N33*IF(AND($J33=1,Z$5&gt;=Assumptions!$B$18),1+Assumptions!$B$17,1)</f>
        <v>5390.625</v>
      </c>
      <c r="AA33" s="40" t="n">
        <f aca="false">$E33/12*O33*IF(AND($J33=1,AA$5&gt;=Assumptions!$B$18),1+Assumptions!$B$17,1)</f>
        <v>5390.625</v>
      </c>
      <c r="AB33" s="40" t="n">
        <f aca="false">$E33/12*P33*IF(AND($J33=1,AB$5&gt;=Assumptions!$B$18),1+Assumptions!$B$17,1)</f>
        <v>5390.625</v>
      </c>
      <c r="AC33" s="40" t="n">
        <f aca="false">$E33/12*Q33*IF(AND($J33=1,AC$5&gt;=Assumptions!$B$18),1+Assumptions!$B$17,1)</f>
        <v>5390.625</v>
      </c>
      <c r="AD33" s="40" t="n">
        <f aca="false">$E33/12*R33*IF(AND($J33=1,AD$5&gt;=Assumptions!$B$18),1+Assumptions!$B$17,1)</f>
        <v>5390.625</v>
      </c>
      <c r="AE33" s="40" t="n">
        <f aca="false">$E33/12*S33*IF(AND($J33=1,AE$5&gt;=Assumptions!$B$18),1+Assumptions!$B$17,1)</f>
        <v>5390.625</v>
      </c>
      <c r="AF33" s="40" t="n">
        <f aca="false">$E33/12*T33*IF(AND($J33=1,AF$5&gt;=Assumptions!$B$18),1+Assumptions!$B$17,1)</f>
        <v>5390.625</v>
      </c>
      <c r="AG33" s="40" t="n">
        <f aca="false">$E33/12*U33*IF(AND($J33=1,AG$5&gt;=Assumptions!$B$18),1+Assumptions!$B$17,1)</f>
        <v>5390.625</v>
      </c>
      <c r="AH33" s="40" t="n">
        <f aca="false">$E33/12*V33*IF(AND($J33=1,AH$5&gt;=Assumptions!$B$18),1+Assumptions!$B$17,1)</f>
        <v>5390.625</v>
      </c>
    </row>
    <row r="34" customFormat="false" ht="15" hidden="false" customHeight="true" outlineLevel="0" collapsed="false">
      <c r="A34" s="13" t="str">
        <f aca="false">Roster!A34</f>
        <v>SLS-104</v>
      </c>
      <c r="B34" s="13" t="str">
        <f aca="false">Roster!B34</f>
        <v>Sales</v>
      </c>
      <c r="C34" s="13" t="str">
        <f aca="false">Roster!E34</f>
        <v>Existing</v>
      </c>
      <c r="D34" s="34" t="n">
        <f aca="false">Roster!D34</f>
        <v>1</v>
      </c>
      <c r="E34" s="35" t="n">
        <f aca="false">Roster!F34</f>
        <v>60000</v>
      </c>
      <c r="F34" s="36" t="n">
        <f aca="false">IF(Roster!E34="Open role",MAX(Assumptions!$B$14,EDATE(Roster!G34,IF(Roster!I34=2,Assumptions!$F$10,0)-Assumptions!$F$9)),Roster!G34)</f>
        <v>44440</v>
      </c>
      <c r="G34" s="36" t="n">
        <f aca="false">IF(Roster!H34="",DATE(2099,12,31),Roster!H34)</f>
        <v>73050</v>
      </c>
      <c r="H34" s="37" t="n">
        <f aca="false">IF(Roster!E34="Existing",1,IF(Roster!I34&lt;=Assumptions!$F$8,1,0))</f>
        <v>1</v>
      </c>
      <c r="I34" s="38" t="n">
        <f aca="false">IF(B34="Sales",Assumptions!$B$23,VLOOKUP(D34,Assumptions!$A$27:$B$31,2,FALSE()))</f>
        <v>0.3</v>
      </c>
      <c r="J34" s="37" t="n">
        <f aca="false">IF(F34&lt;Assumptions!$B$14,1,0)</f>
        <v>1</v>
      </c>
      <c r="K34" s="39" t="n">
        <f aca="false">IF($H34=1,MAX(0,MIN($G34,EOMONTH(K$5,0))-MAX($F34,K$5)+1)/DAY(EOMONTH(K$5,0)),0)</f>
        <v>1</v>
      </c>
      <c r="L34" s="39" t="n">
        <f aca="false">IF($H34=1,MAX(0,MIN($G34,EOMONTH(L$5,0))-MAX($F34,L$5)+1)/DAY(EOMONTH(L$5,0)),0)</f>
        <v>1</v>
      </c>
      <c r="M34" s="39" t="n">
        <f aca="false">IF($H34=1,MAX(0,MIN($G34,EOMONTH(M$5,0))-MAX($F34,M$5)+1)/DAY(EOMONTH(M$5,0)),0)</f>
        <v>1</v>
      </c>
      <c r="N34" s="39" t="n">
        <f aca="false">IF($H34=1,MAX(0,MIN($G34,EOMONTH(N$5,0))-MAX($F34,N$5)+1)/DAY(EOMONTH(N$5,0)),0)</f>
        <v>1</v>
      </c>
      <c r="O34" s="39" t="n">
        <f aca="false">IF($H34=1,MAX(0,MIN($G34,EOMONTH(O$5,0))-MAX($F34,O$5)+1)/DAY(EOMONTH(O$5,0)),0)</f>
        <v>1</v>
      </c>
      <c r="P34" s="39" t="n">
        <f aca="false">IF($H34=1,MAX(0,MIN($G34,EOMONTH(P$5,0))-MAX($F34,P$5)+1)/DAY(EOMONTH(P$5,0)),0)</f>
        <v>1</v>
      </c>
      <c r="Q34" s="39" t="n">
        <f aca="false">IF($H34=1,MAX(0,MIN($G34,EOMONTH(Q$5,0))-MAX($F34,Q$5)+1)/DAY(EOMONTH(Q$5,0)),0)</f>
        <v>1</v>
      </c>
      <c r="R34" s="39" t="n">
        <f aca="false">IF($H34=1,MAX(0,MIN($G34,EOMONTH(R$5,0))-MAX($F34,R$5)+1)/DAY(EOMONTH(R$5,0)),0)</f>
        <v>1</v>
      </c>
      <c r="S34" s="39" t="n">
        <f aca="false">IF($H34=1,MAX(0,MIN($G34,EOMONTH(S$5,0))-MAX($F34,S$5)+1)/DAY(EOMONTH(S$5,0)),0)</f>
        <v>1</v>
      </c>
      <c r="T34" s="39" t="n">
        <f aca="false">IF($H34=1,MAX(0,MIN($G34,EOMONTH(T$5,0))-MAX($F34,T$5)+1)/DAY(EOMONTH(T$5,0)),0)</f>
        <v>1</v>
      </c>
      <c r="U34" s="39" t="n">
        <f aca="false">IF($H34=1,MAX(0,MIN($G34,EOMONTH(U$5,0))-MAX($F34,U$5)+1)/DAY(EOMONTH(U$5,0)),0)</f>
        <v>1</v>
      </c>
      <c r="V34" s="39" t="n">
        <f aca="false">IF($H34=1,MAX(0,MIN($G34,EOMONTH(V$5,0))-MAX($F34,V$5)+1)/DAY(EOMONTH(V$5,0)),0)</f>
        <v>1</v>
      </c>
      <c r="W34" s="40" t="n">
        <f aca="false">$E34/12*K34*IF(AND($J34=1,W$5&gt;=Assumptions!$B$18),1+Assumptions!$B$17,1)</f>
        <v>5000</v>
      </c>
      <c r="X34" s="40" t="n">
        <f aca="false">$E34/12*L34*IF(AND($J34=1,X$5&gt;=Assumptions!$B$18),1+Assumptions!$B$17,1)</f>
        <v>5000</v>
      </c>
      <c r="Y34" s="40" t="n">
        <f aca="false">$E34/12*M34*IF(AND($J34=1,Y$5&gt;=Assumptions!$B$18),1+Assumptions!$B$17,1)</f>
        <v>5000</v>
      </c>
      <c r="Z34" s="40" t="n">
        <f aca="false">$E34/12*N34*IF(AND($J34=1,Z$5&gt;=Assumptions!$B$18),1+Assumptions!$B$17,1)</f>
        <v>5175</v>
      </c>
      <c r="AA34" s="40" t="n">
        <f aca="false">$E34/12*O34*IF(AND($J34=1,AA$5&gt;=Assumptions!$B$18),1+Assumptions!$B$17,1)</f>
        <v>5175</v>
      </c>
      <c r="AB34" s="40" t="n">
        <f aca="false">$E34/12*P34*IF(AND($J34=1,AB$5&gt;=Assumptions!$B$18),1+Assumptions!$B$17,1)</f>
        <v>5175</v>
      </c>
      <c r="AC34" s="40" t="n">
        <f aca="false">$E34/12*Q34*IF(AND($J34=1,AC$5&gt;=Assumptions!$B$18),1+Assumptions!$B$17,1)</f>
        <v>5175</v>
      </c>
      <c r="AD34" s="40" t="n">
        <f aca="false">$E34/12*R34*IF(AND($J34=1,AD$5&gt;=Assumptions!$B$18),1+Assumptions!$B$17,1)</f>
        <v>5175</v>
      </c>
      <c r="AE34" s="40" t="n">
        <f aca="false">$E34/12*S34*IF(AND($J34=1,AE$5&gt;=Assumptions!$B$18),1+Assumptions!$B$17,1)</f>
        <v>5175</v>
      </c>
      <c r="AF34" s="40" t="n">
        <f aca="false">$E34/12*T34*IF(AND($J34=1,AF$5&gt;=Assumptions!$B$18),1+Assumptions!$B$17,1)</f>
        <v>5175</v>
      </c>
      <c r="AG34" s="40" t="n">
        <f aca="false">$E34/12*U34*IF(AND($J34=1,AG$5&gt;=Assumptions!$B$18),1+Assumptions!$B$17,1)</f>
        <v>5175</v>
      </c>
      <c r="AH34" s="40" t="n">
        <f aca="false">$E34/12*V34*IF(AND($J34=1,AH$5&gt;=Assumptions!$B$18),1+Assumptions!$B$17,1)</f>
        <v>5175</v>
      </c>
    </row>
    <row r="35" customFormat="false" ht="15" hidden="false" customHeight="true" outlineLevel="0" collapsed="false">
      <c r="A35" s="13" t="str">
        <f aca="false">Roster!A35</f>
        <v>SLS-105</v>
      </c>
      <c r="B35" s="13" t="str">
        <f aca="false">Roster!B35</f>
        <v>Sales</v>
      </c>
      <c r="C35" s="13" t="str">
        <f aca="false">Roster!E35</f>
        <v>Existing</v>
      </c>
      <c r="D35" s="34" t="n">
        <f aca="false">Roster!D35</f>
        <v>2</v>
      </c>
      <c r="E35" s="35" t="n">
        <f aca="false">Roster!F35</f>
        <v>84000</v>
      </c>
      <c r="F35" s="36" t="n">
        <f aca="false">IF(Roster!E35="Open role",MAX(Assumptions!$B$14,EDATE(Roster!G35,IF(Roster!I35=2,Assumptions!$F$10,0)-Assumptions!$F$9)),Roster!G35)</f>
        <v>45323</v>
      </c>
      <c r="G35" s="36" t="n">
        <f aca="false">IF(Roster!H35="",DATE(2099,12,31),Roster!H35)</f>
        <v>73050</v>
      </c>
      <c r="H35" s="37" t="n">
        <f aca="false">IF(Roster!E35="Existing",1,IF(Roster!I35&lt;=Assumptions!$F$8,1,0))</f>
        <v>1</v>
      </c>
      <c r="I35" s="38" t="n">
        <f aca="false">IF(B35="Sales",Assumptions!$B$23,VLOOKUP(D35,Assumptions!$A$27:$B$31,2,FALSE()))</f>
        <v>0.3</v>
      </c>
      <c r="J35" s="37" t="n">
        <f aca="false">IF(F35&lt;Assumptions!$B$14,1,0)</f>
        <v>1</v>
      </c>
      <c r="K35" s="39" t="n">
        <f aca="false">IF($H35=1,MAX(0,MIN($G35,EOMONTH(K$5,0))-MAX($F35,K$5)+1)/DAY(EOMONTH(K$5,0)),0)</f>
        <v>1</v>
      </c>
      <c r="L35" s="39" t="n">
        <f aca="false">IF($H35=1,MAX(0,MIN($G35,EOMONTH(L$5,0))-MAX($F35,L$5)+1)/DAY(EOMONTH(L$5,0)),0)</f>
        <v>1</v>
      </c>
      <c r="M35" s="39" t="n">
        <f aca="false">IF($H35=1,MAX(0,MIN($G35,EOMONTH(M$5,0))-MAX($F35,M$5)+1)/DAY(EOMONTH(M$5,0)),0)</f>
        <v>1</v>
      </c>
      <c r="N35" s="39" t="n">
        <f aca="false">IF($H35=1,MAX(0,MIN($G35,EOMONTH(N$5,0))-MAX($F35,N$5)+1)/DAY(EOMONTH(N$5,0)),0)</f>
        <v>1</v>
      </c>
      <c r="O35" s="39" t="n">
        <f aca="false">IF($H35=1,MAX(0,MIN($G35,EOMONTH(O$5,0))-MAX($F35,O$5)+1)/DAY(EOMONTH(O$5,0)),0)</f>
        <v>1</v>
      </c>
      <c r="P35" s="39" t="n">
        <f aca="false">IF($H35=1,MAX(0,MIN($G35,EOMONTH(P$5,0))-MAX($F35,P$5)+1)/DAY(EOMONTH(P$5,0)),0)</f>
        <v>1</v>
      </c>
      <c r="Q35" s="39" t="n">
        <f aca="false">IF($H35=1,MAX(0,MIN($G35,EOMONTH(Q$5,0))-MAX($F35,Q$5)+1)/DAY(EOMONTH(Q$5,0)),0)</f>
        <v>1</v>
      </c>
      <c r="R35" s="39" t="n">
        <f aca="false">IF($H35=1,MAX(0,MIN($G35,EOMONTH(R$5,0))-MAX($F35,R$5)+1)/DAY(EOMONTH(R$5,0)),0)</f>
        <v>1</v>
      </c>
      <c r="S35" s="39" t="n">
        <f aca="false">IF($H35=1,MAX(0,MIN($G35,EOMONTH(S$5,0))-MAX($F35,S$5)+1)/DAY(EOMONTH(S$5,0)),0)</f>
        <v>1</v>
      </c>
      <c r="T35" s="39" t="n">
        <f aca="false">IF($H35=1,MAX(0,MIN($G35,EOMONTH(T$5,0))-MAX($F35,T$5)+1)/DAY(EOMONTH(T$5,0)),0)</f>
        <v>1</v>
      </c>
      <c r="U35" s="39" t="n">
        <f aca="false">IF($H35=1,MAX(0,MIN($G35,EOMONTH(U$5,0))-MAX($F35,U$5)+1)/DAY(EOMONTH(U$5,0)),0)</f>
        <v>1</v>
      </c>
      <c r="V35" s="39" t="n">
        <f aca="false">IF($H35=1,MAX(0,MIN($G35,EOMONTH(V$5,0))-MAX($F35,V$5)+1)/DAY(EOMONTH(V$5,0)),0)</f>
        <v>1</v>
      </c>
      <c r="W35" s="40" t="n">
        <f aca="false">$E35/12*K35*IF(AND($J35=1,W$5&gt;=Assumptions!$B$18),1+Assumptions!$B$17,1)</f>
        <v>7000</v>
      </c>
      <c r="X35" s="40" t="n">
        <f aca="false">$E35/12*L35*IF(AND($J35=1,X$5&gt;=Assumptions!$B$18),1+Assumptions!$B$17,1)</f>
        <v>7000</v>
      </c>
      <c r="Y35" s="40" t="n">
        <f aca="false">$E35/12*M35*IF(AND($J35=1,Y$5&gt;=Assumptions!$B$18),1+Assumptions!$B$17,1)</f>
        <v>7000</v>
      </c>
      <c r="Z35" s="40" t="n">
        <f aca="false">$E35/12*N35*IF(AND($J35=1,Z$5&gt;=Assumptions!$B$18),1+Assumptions!$B$17,1)</f>
        <v>7245</v>
      </c>
      <c r="AA35" s="40" t="n">
        <f aca="false">$E35/12*O35*IF(AND($J35=1,AA$5&gt;=Assumptions!$B$18),1+Assumptions!$B$17,1)</f>
        <v>7245</v>
      </c>
      <c r="AB35" s="40" t="n">
        <f aca="false">$E35/12*P35*IF(AND($J35=1,AB$5&gt;=Assumptions!$B$18),1+Assumptions!$B$17,1)</f>
        <v>7245</v>
      </c>
      <c r="AC35" s="40" t="n">
        <f aca="false">$E35/12*Q35*IF(AND($J35=1,AC$5&gt;=Assumptions!$B$18),1+Assumptions!$B$17,1)</f>
        <v>7245</v>
      </c>
      <c r="AD35" s="40" t="n">
        <f aca="false">$E35/12*R35*IF(AND($J35=1,AD$5&gt;=Assumptions!$B$18),1+Assumptions!$B$17,1)</f>
        <v>7245</v>
      </c>
      <c r="AE35" s="40" t="n">
        <f aca="false">$E35/12*S35*IF(AND($J35=1,AE$5&gt;=Assumptions!$B$18),1+Assumptions!$B$17,1)</f>
        <v>7245</v>
      </c>
      <c r="AF35" s="40" t="n">
        <f aca="false">$E35/12*T35*IF(AND($J35=1,AF$5&gt;=Assumptions!$B$18),1+Assumptions!$B$17,1)</f>
        <v>7245</v>
      </c>
      <c r="AG35" s="40" t="n">
        <f aca="false">$E35/12*U35*IF(AND($J35=1,AG$5&gt;=Assumptions!$B$18),1+Assumptions!$B$17,1)</f>
        <v>7245</v>
      </c>
      <c r="AH35" s="40" t="n">
        <f aca="false">$E35/12*V35*IF(AND($J35=1,AH$5&gt;=Assumptions!$B$18),1+Assumptions!$B$17,1)</f>
        <v>7245</v>
      </c>
    </row>
    <row r="36" customFormat="false" ht="15" hidden="false" customHeight="true" outlineLevel="0" collapsed="false">
      <c r="A36" s="13" t="str">
        <f aca="false">Roster!A36</f>
        <v>SLS-106</v>
      </c>
      <c r="B36" s="13" t="str">
        <f aca="false">Roster!B36</f>
        <v>Sales</v>
      </c>
      <c r="C36" s="13" t="str">
        <f aca="false">Roster!E36</f>
        <v>Existing</v>
      </c>
      <c r="D36" s="34" t="n">
        <f aca="false">Roster!D36</f>
        <v>2</v>
      </c>
      <c r="E36" s="35" t="n">
        <f aca="false">Roster!F36</f>
        <v>77500</v>
      </c>
      <c r="F36" s="36" t="n">
        <f aca="false">IF(Roster!E36="Open role",MAX(Assumptions!$B$14,EDATE(Roster!G36,IF(Roster!I36=2,Assumptions!$F$10,0)-Assumptions!$F$9)),Roster!G36)</f>
        <v>43647</v>
      </c>
      <c r="G36" s="36" t="n">
        <f aca="false">IF(Roster!H36="",DATE(2099,12,31),Roster!H36)</f>
        <v>46568</v>
      </c>
      <c r="H36" s="37" t="n">
        <f aca="false">IF(Roster!E36="Existing",1,IF(Roster!I36&lt;=Assumptions!$F$8,1,0))</f>
        <v>1</v>
      </c>
      <c r="I36" s="38" t="n">
        <f aca="false">IF(B36="Sales",Assumptions!$B$23,VLOOKUP(D36,Assumptions!$A$27:$B$31,2,FALSE()))</f>
        <v>0.3</v>
      </c>
      <c r="J36" s="37" t="n">
        <f aca="false">IF(F36&lt;Assumptions!$B$14,1,0)</f>
        <v>1</v>
      </c>
      <c r="K36" s="39" t="n">
        <f aca="false">IF($H36=1,MAX(0,MIN($G36,EOMONTH(K$5,0))-MAX($F36,K$5)+1)/DAY(EOMONTH(K$5,0)),0)</f>
        <v>1</v>
      </c>
      <c r="L36" s="39" t="n">
        <f aca="false">IF($H36=1,MAX(0,MIN($G36,EOMONTH(L$5,0))-MAX($F36,L$5)+1)/DAY(EOMONTH(L$5,0)),0)</f>
        <v>1</v>
      </c>
      <c r="M36" s="39" t="n">
        <f aca="false">IF($H36=1,MAX(0,MIN($G36,EOMONTH(M$5,0))-MAX($F36,M$5)+1)/DAY(EOMONTH(M$5,0)),0)</f>
        <v>1</v>
      </c>
      <c r="N36" s="39" t="n">
        <f aca="false">IF($H36=1,MAX(0,MIN($G36,EOMONTH(N$5,0))-MAX($F36,N$5)+1)/DAY(EOMONTH(N$5,0)),0)</f>
        <v>1</v>
      </c>
      <c r="O36" s="39" t="n">
        <f aca="false">IF($H36=1,MAX(0,MIN($G36,EOMONTH(O$5,0))-MAX($F36,O$5)+1)/DAY(EOMONTH(O$5,0)),0)</f>
        <v>1</v>
      </c>
      <c r="P36" s="39" t="n">
        <f aca="false">IF($H36=1,MAX(0,MIN($G36,EOMONTH(P$5,0))-MAX($F36,P$5)+1)/DAY(EOMONTH(P$5,0)),0)</f>
        <v>1</v>
      </c>
      <c r="Q36" s="39" t="n">
        <f aca="false">IF($H36=1,MAX(0,MIN($G36,EOMONTH(Q$5,0))-MAX($F36,Q$5)+1)/DAY(EOMONTH(Q$5,0)),0)</f>
        <v>0</v>
      </c>
      <c r="R36" s="39" t="n">
        <f aca="false">IF($H36=1,MAX(0,MIN($G36,EOMONTH(R$5,0))-MAX($F36,R$5)+1)/DAY(EOMONTH(R$5,0)),0)</f>
        <v>0</v>
      </c>
      <c r="S36" s="39" t="n">
        <f aca="false">IF($H36=1,MAX(0,MIN($G36,EOMONTH(S$5,0))-MAX($F36,S$5)+1)/DAY(EOMONTH(S$5,0)),0)</f>
        <v>0</v>
      </c>
      <c r="T36" s="39" t="n">
        <f aca="false">IF($H36=1,MAX(0,MIN($G36,EOMONTH(T$5,0))-MAX($F36,T$5)+1)/DAY(EOMONTH(T$5,0)),0)</f>
        <v>0</v>
      </c>
      <c r="U36" s="39" t="n">
        <f aca="false">IF($H36=1,MAX(0,MIN($G36,EOMONTH(U$5,0))-MAX($F36,U$5)+1)/DAY(EOMONTH(U$5,0)),0)</f>
        <v>0</v>
      </c>
      <c r="V36" s="39" t="n">
        <f aca="false">IF($H36=1,MAX(0,MIN($G36,EOMONTH(V$5,0))-MAX($F36,V$5)+1)/DAY(EOMONTH(V$5,0)),0)</f>
        <v>0</v>
      </c>
      <c r="W36" s="40" t="n">
        <f aca="false">$E36/12*K36*IF(AND($J36=1,W$5&gt;=Assumptions!$B$18),1+Assumptions!$B$17,1)</f>
        <v>6458.33333333333</v>
      </c>
      <c r="X36" s="40" t="n">
        <f aca="false">$E36/12*L36*IF(AND($J36=1,X$5&gt;=Assumptions!$B$18),1+Assumptions!$B$17,1)</f>
        <v>6458.33333333333</v>
      </c>
      <c r="Y36" s="40" t="n">
        <f aca="false">$E36/12*M36*IF(AND($J36=1,Y$5&gt;=Assumptions!$B$18),1+Assumptions!$B$17,1)</f>
        <v>6458.33333333333</v>
      </c>
      <c r="Z36" s="40" t="n">
        <f aca="false">$E36/12*N36*IF(AND($J36=1,Z$5&gt;=Assumptions!$B$18),1+Assumptions!$B$17,1)</f>
        <v>6684.375</v>
      </c>
      <c r="AA36" s="40" t="n">
        <f aca="false">$E36/12*O36*IF(AND($J36=1,AA$5&gt;=Assumptions!$B$18),1+Assumptions!$B$17,1)</f>
        <v>6684.375</v>
      </c>
      <c r="AB36" s="40" t="n">
        <f aca="false">$E36/12*P36*IF(AND($J36=1,AB$5&gt;=Assumptions!$B$18),1+Assumptions!$B$17,1)</f>
        <v>6684.375</v>
      </c>
      <c r="AC36" s="40" t="n">
        <f aca="false">$E36/12*Q36*IF(AND($J36=1,AC$5&gt;=Assumptions!$B$18),1+Assumptions!$B$17,1)</f>
        <v>0</v>
      </c>
      <c r="AD36" s="40" t="n">
        <f aca="false">$E36/12*R36*IF(AND($J36=1,AD$5&gt;=Assumptions!$B$18),1+Assumptions!$B$17,1)</f>
        <v>0</v>
      </c>
      <c r="AE36" s="40" t="n">
        <f aca="false">$E36/12*S36*IF(AND($J36=1,AE$5&gt;=Assumptions!$B$18),1+Assumptions!$B$17,1)</f>
        <v>0</v>
      </c>
      <c r="AF36" s="40" t="n">
        <f aca="false">$E36/12*T36*IF(AND($J36=1,AF$5&gt;=Assumptions!$B$18),1+Assumptions!$B$17,1)</f>
        <v>0</v>
      </c>
      <c r="AG36" s="40" t="n">
        <f aca="false">$E36/12*U36*IF(AND($J36=1,AG$5&gt;=Assumptions!$B$18),1+Assumptions!$B$17,1)</f>
        <v>0</v>
      </c>
      <c r="AH36" s="40" t="n">
        <f aca="false">$E36/12*V36*IF(AND($J36=1,AH$5&gt;=Assumptions!$B$18),1+Assumptions!$B$17,1)</f>
        <v>0</v>
      </c>
    </row>
    <row r="37" customFormat="false" ht="15" hidden="false" customHeight="true" outlineLevel="0" collapsed="false">
      <c r="A37" s="13" t="str">
        <f aca="false">Roster!A37</f>
        <v>SLS-107</v>
      </c>
      <c r="B37" s="13" t="str">
        <f aca="false">Roster!B37</f>
        <v>Sales</v>
      </c>
      <c r="C37" s="13" t="str">
        <f aca="false">Roster!E37</f>
        <v>Existing</v>
      </c>
      <c r="D37" s="34" t="n">
        <f aca="false">Roster!D37</f>
        <v>2</v>
      </c>
      <c r="E37" s="35" t="n">
        <f aca="false">Roster!F37</f>
        <v>81500</v>
      </c>
      <c r="F37" s="36" t="n">
        <f aca="false">IF(Roster!E37="Open role",MAX(Assumptions!$B$14,EDATE(Roster!G37,IF(Roster!I37=2,Assumptions!$F$10,0)-Assumptions!$F$9)),Roster!G37)</f>
        <v>44896</v>
      </c>
      <c r="G37" s="36" t="n">
        <f aca="false">IF(Roster!H37="",DATE(2099,12,31),Roster!H37)</f>
        <v>73050</v>
      </c>
      <c r="H37" s="37" t="n">
        <f aca="false">IF(Roster!E37="Existing",1,IF(Roster!I37&lt;=Assumptions!$F$8,1,0))</f>
        <v>1</v>
      </c>
      <c r="I37" s="38" t="n">
        <f aca="false">IF(B37="Sales",Assumptions!$B$23,VLOOKUP(D37,Assumptions!$A$27:$B$31,2,FALSE()))</f>
        <v>0.3</v>
      </c>
      <c r="J37" s="37" t="n">
        <f aca="false">IF(F37&lt;Assumptions!$B$14,1,0)</f>
        <v>1</v>
      </c>
      <c r="K37" s="39" t="n">
        <f aca="false">IF($H37=1,MAX(0,MIN($G37,EOMONTH(K$5,0))-MAX($F37,K$5)+1)/DAY(EOMONTH(K$5,0)),0)</f>
        <v>1</v>
      </c>
      <c r="L37" s="39" t="n">
        <f aca="false">IF($H37=1,MAX(0,MIN($G37,EOMONTH(L$5,0))-MAX($F37,L$5)+1)/DAY(EOMONTH(L$5,0)),0)</f>
        <v>1</v>
      </c>
      <c r="M37" s="39" t="n">
        <f aca="false">IF($H37=1,MAX(0,MIN($G37,EOMONTH(M$5,0))-MAX($F37,M$5)+1)/DAY(EOMONTH(M$5,0)),0)</f>
        <v>1</v>
      </c>
      <c r="N37" s="39" t="n">
        <f aca="false">IF($H37=1,MAX(0,MIN($G37,EOMONTH(N$5,0))-MAX($F37,N$5)+1)/DAY(EOMONTH(N$5,0)),0)</f>
        <v>1</v>
      </c>
      <c r="O37" s="39" t="n">
        <f aca="false">IF($H37=1,MAX(0,MIN($G37,EOMONTH(O$5,0))-MAX($F37,O$5)+1)/DAY(EOMONTH(O$5,0)),0)</f>
        <v>1</v>
      </c>
      <c r="P37" s="39" t="n">
        <f aca="false">IF($H37=1,MAX(0,MIN($G37,EOMONTH(P$5,0))-MAX($F37,P$5)+1)/DAY(EOMONTH(P$5,0)),0)</f>
        <v>1</v>
      </c>
      <c r="Q37" s="39" t="n">
        <f aca="false">IF($H37=1,MAX(0,MIN($G37,EOMONTH(Q$5,0))-MAX($F37,Q$5)+1)/DAY(EOMONTH(Q$5,0)),0)</f>
        <v>1</v>
      </c>
      <c r="R37" s="39" t="n">
        <f aca="false">IF($H37=1,MAX(0,MIN($G37,EOMONTH(R$5,0))-MAX($F37,R$5)+1)/DAY(EOMONTH(R$5,0)),0)</f>
        <v>1</v>
      </c>
      <c r="S37" s="39" t="n">
        <f aca="false">IF($H37=1,MAX(0,MIN($G37,EOMONTH(S$5,0))-MAX($F37,S$5)+1)/DAY(EOMONTH(S$5,0)),0)</f>
        <v>1</v>
      </c>
      <c r="T37" s="39" t="n">
        <f aca="false">IF($H37=1,MAX(0,MIN($G37,EOMONTH(T$5,0))-MAX($F37,T$5)+1)/DAY(EOMONTH(T$5,0)),0)</f>
        <v>1</v>
      </c>
      <c r="U37" s="39" t="n">
        <f aca="false">IF($H37=1,MAX(0,MIN($G37,EOMONTH(U$5,0))-MAX($F37,U$5)+1)/DAY(EOMONTH(U$5,0)),0)</f>
        <v>1</v>
      </c>
      <c r="V37" s="39" t="n">
        <f aca="false">IF($H37=1,MAX(0,MIN($G37,EOMONTH(V$5,0))-MAX($F37,V$5)+1)/DAY(EOMONTH(V$5,0)),0)</f>
        <v>1</v>
      </c>
      <c r="W37" s="40" t="n">
        <f aca="false">$E37/12*K37*IF(AND($J37=1,W$5&gt;=Assumptions!$B$18),1+Assumptions!$B$17,1)</f>
        <v>6791.66666666667</v>
      </c>
      <c r="X37" s="40" t="n">
        <f aca="false">$E37/12*L37*IF(AND($J37=1,X$5&gt;=Assumptions!$B$18),1+Assumptions!$B$17,1)</f>
        <v>6791.66666666667</v>
      </c>
      <c r="Y37" s="40" t="n">
        <f aca="false">$E37/12*M37*IF(AND($J37=1,Y$5&gt;=Assumptions!$B$18),1+Assumptions!$B$17,1)</f>
        <v>6791.66666666667</v>
      </c>
      <c r="Z37" s="40" t="n">
        <f aca="false">$E37/12*N37*IF(AND($J37=1,Z$5&gt;=Assumptions!$B$18),1+Assumptions!$B$17,1)</f>
        <v>7029.375</v>
      </c>
      <c r="AA37" s="40" t="n">
        <f aca="false">$E37/12*O37*IF(AND($J37=1,AA$5&gt;=Assumptions!$B$18),1+Assumptions!$B$17,1)</f>
        <v>7029.375</v>
      </c>
      <c r="AB37" s="40" t="n">
        <f aca="false">$E37/12*P37*IF(AND($J37=1,AB$5&gt;=Assumptions!$B$18),1+Assumptions!$B$17,1)</f>
        <v>7029.375</v>
      </c>
      <c r="AC37" s="40" t="n">
        <f aca="false">$E37/12*Q37*IF(AND($J37=1,AC$5&gt;=Assumptions!$B$18),1+Assumptions!$B$17,1)</f>
        <v>7029.375</v>
      </c>
      <c r="AD37" s="40" t="n">
        <f aca="false">$E37/12*R37*IF(AND($J37=1,AD$5&gt;=Assumptions!$B$18),1+Assumptions!$B$17,1)</f>
        <v>7029.375</v>
      </c>
      <c r="AE37" s="40" t="n">
        <f aca="false">$E37/12*S37*IF(AND($J37=1,AE$5&gt;=Assumptions!$B$18),1+Assumptions!$B$17,1)</f>
        <v>7029.375</v>
      </c>
      <c r="AF37" s="40" t="n">
        <f aca="false">$E37/12*T37*IF(AND($J37=1,AF$5&gt;=Assumptions!$B$18),1+Assumptions!$B$17,1)</f>
        <v>7029.375</v>
      </c>
      <c r="AG37" s="40" t="n">
        <f aca="false">$E37/12*U37*IF(AND($J37=1,AG$5&gt;=Assumptions!$B$18),1+Assumptions!$B$17,1)</f>
        <v>7029.375</v>
      </c>
      <c r="AH37" s="40" t="n">
        <f aca="false">$E37/12*V37*IF(AND($J37=1,AH$5&gt;=Assumptions!$B$18),1+Assumptions!$B$17,1)</f>
        <v>7029.375</v>
      </c>
    </row>
    <row r="38" customFormat="false" ht="15" hidden="false" customHeight="true" outlineLevel="0" collapsed="false">
      <c r="A38" s="13" t="str">
        <f aca="false">Roster!A38</f>
        <v>SLS-108</v>
      </c>
      <c r="B38" s="13" t="str">
        <f aca="false">Roster!B38</f>
        <v>Sales</v>
      </c>
      <c r="C38" s="13" t="str">
        <f aca="false">Roster!E38</f>
        <v>Existing</v>
      </c>
      <c r="D38" s="34" t="n">
        <f aca="false">Roster!D38</f>
        <v>2</v>
      </c>
      <c r="E38" s="35" t="n">
        <f aca="false">Roster!F38</f>
        <v>80000</v>
      </c>
      <c r="F38" s="36" t="n">
        <f aca="false">IF(Roster!E38="Open role",MAX(Assumptions!$B$14,EDATE(Roster!G38,IF(Roster!I38=2,Assumptions!$F$10,0)-Assumptions!$F$9)),Roster!G38)</f>
        <v>45778</v>
      </c>
      <c r="G38" s="36" t="n">
        <f aca="false">IF(Roster!H38="",DATE(2099,12,31),Roster!H38)</f>
        <v>73050</v>
      </c>
      <c r="H38" s="37" t="n">
        <f aca="false">IF(Roster!E38="Existing",1,IF(Roster!I38&lt;=Assumptions!$F$8,1,0))</f>
        <v>1</v>
      </c>
      <c r="I38" s="38" t="n">
        <f aca="false">IF(B38="Sales",Assumptions!$B$23,VLOOKUP(D38,Assumptions!$A$27:$B$31,2,FALSE()))</f>
        <v>0.3</v>
      </c>
      <c r="J38" s="37" t="n">
        <f aca="false">IF(F38&lt;Assumptions!$B$14,1,0)</f>
        <v>1</v>
      </c>
      <c r="K38" s="39" t="n">
        <f aca="false">IF($H38=1,MAX(0,MIN($G38,EOMONTH(K$5,0))-MAX($F38,K$5)+1)/DAY(EOMONTH(K$5,0)),0)</f>
        <v>1</v>
      </c>
      <c r="L38" s="39" t="n">
        <f aca="false">IF($H38=1,MAX(0,MIN($G38,EOMONTH(L$5,0))-MAX($F38,L$5)+1)/DAY(EOMONTH(L$5,0)),0)</f>
        <v>1</v>
      </c>
      <c r="M38" s="39" t="n">
        <f aca="false">IF($H38=1,MAX(0,MIN($G38,EOMONTH(M$5,0))-MAX($F38,M$5)+1)/DAY(EOMONTH(M$5,0)),0)</f>
        <v>1</v>
      </c>
      <c r="N38" s="39" t="n">
        <f aca="false">IF($H38=1,MAX(0,MIN($G38,EOMONTH(N$5,0))-MAX($F38,N$5)+1)/DAY(EOMONTH(N$5,0)),0)</f>
        <v>1</v>
      </c>
      <c r="O38" s="39" t="n">
        <f aca="false">IF($H38=1,MAX(0,MIN($G38,EOMONTH(O$5,0))-MAX($F38,O$5)+1)/DAY(EOMONTH(O$5,0)),0)</f>
        <v>1</v>
      </c>
      <c r="P38" s="39" t="n">
        <f aca="false">IF($H38=1,MAX(0,MIN($G38,EOMONTH(P$5,0))-MAX($F38,P$5)+1)/DAY(EOMONTH(P$5,0)),0)</f>
        <v>1</v>
      </c>
      <c r="Q38" s="39" t="n">
        <f aca="false">IF($H38=1,MAX(0,MIN($G38,EOMONTH(Q$5,0))-MAX($F38,Q$5)+1)/DAY(EOMONTH(Q$5,0)),0)</f>
        <v>1</v>
      </c>
      <c r="R38" s="39" t="n">
        <f aca="false">IF($H38=1,MAX(0,MIN($G38,EOMONTH(R$5,0))-MAX($F38,R$5)+1)/DAY(EOMONTH(R$5,0)),0)</f>
        <v>1</v>
      </c>
      <c r="S38" s="39" t="n">
        <f aca="false">IF($H38=1,MAX(0,MIN($G38,EOMONTH(S$5,0))-MAX($F38,S$5)+1)/DAY(EOMONTH(S$5,0)),0)</f>
        <v>1</v>
      </c>
      <c r="T38" s="39" t="n">
        <f aca="false">IF($H38=1,MAX(0,MIN($G38,EOMONTH(T$5,0))-MAX($F38,T$5)+1)/DAY(EOMONTH(T$5,0)),0)</f>
        <v>1</v>
      </c>
      <c r="U38" s="39" t="n">
        <f aca="false">IF($H38=1,MAX(0,MIN($G38,EOMONTH(U$5,0))-MAX($F38,U$5)+1)/DAY(EOMONTH(U$5,0)),0)</f>
        <v>1</v>
      </c>
      <c r="V38" s="39" t="n">
        <f aca="false">IF($H38=1,MAX(0,MIN($G38,EOMONTH(V$5,0))-MAX($F38,V$5)+1)/DAY(EOMONTH(V$5,0)),0)</f>
        <v>1</v>
      </c>
      <c r="W38" s="40" t="n">
        <f aca="false">$E38/12*K38*IF(AND($J38=1,W$5&gt;=Assumptions!$B$18),1+Assumptions!$B$17,1)</f>
        <v>6666.66666666667</v>
      </c>
      <c r="X38" s="40" t="n">
        <f aca="false">$E38/12*L38*IF(AND($J38=1,X$5&gt;=Assumptions!$B$18),1+Assumptions!$B$17,1)</f>
        <v>6666.66666666667</v>
      </c>
      <c r="Y38" s="40" t="n">
        <f aca="false">$E38/12*M38*IF(AND($J38=1,Y$5&gt;=Assumptions!$B$18),1+Assumptions!$B$17,1)</f>
        <v>6666.66666666667</v>
      </c>
      <c r="Z38" s="40" t="n">
        <f aca="false">$E38/12*N38*IF(AND($J38=1,Z$5&gt;=Assumptions!$B$18),1+Assumptions!$B$17,1)</f>
        <v>6900</v>
      </c>
      <c r="AA38" s="40" t="n">
        <f aca="false">$E38/12*O38*IF(AND($J38=1,AA$5&gt;=Assumptions!$B$18),1+Assumptions!$B$17,1)</f>
        <v>6900</v>
      </c>
      <c r="AB38" s="40" t="n">
        <f aca="false">$E38/12*P38*IF(AND($J38=1,AB$5&gt;=Assumptions!$B$18),1+Assumptions!$B$17,1)</f>
        <v>6900</v>
      </c>
      <c r="AC38" s="40" t="n">
        <f aca="false">$E38/12*Q38*IF(AND($J38=1,AC$5&gt;=Assumptions!$B$18),1+Assumptions!$B$17,1)</f>
        <v>6900</v>
      </c>
      <c r="AD38" s="40" t="n">
        <f aca="false">$E38/12*R38*IF(AND($J38=1,AD$5&gt;=Assumptions!$B$18),1+Assumptions!$B$17,1)</f>
        <v>6900</v>
      </c>
      <c r="AE38" s="40" t="n">
        <f aca="false">$E38/12*S38*IF(AND($J38=1,AE$5&gt;=Assumptions!$B$18),1+Assumptions!$B$17,1)</f>
        <v>6900</v>
      </c>
      <c r="AF38" s="40" t="n">
        <f aca="false">$E38/12*T38*IF(AND($J38=1,AF$5&gt;=Assumptions!$B$18),1+Assumptions!$B$17,1)</f>
        <v>6900</v>
      </c>
      <c r="AG38" s="40" t="n">
        <f aca="false">$E38/12*U38*IF(AND($J38=1,AG$5&gt;=Assumptions!$B$18),1+Assumptions!$B$17,1)</f>
        <v>6900</v>
      </c>
      <c r="AH38" s="40" t="n">
        <f aca="false">$E38/12*V38*IF(AND($J38=1,AH$5&gt;=Assumptions!$B$18),1+Assumptions!$B$17,1)</f>
        <v>6900</v>
      </c>
    </row>
    <row r="39" customFormat="false" ht="15" hidden="false" customHeight="true" outlineLevel="0" collapsed="false">
      <c r="A39" s="13" t="str">
        <f aca="false">Roster!A39</f>
        <v>SLS-109</v>
      </c>
      <c r="B39" s="13" t="str">
        <f aca="false">Roster!B39</f>
        <v>Sales</v>
      </c>
      <c r="C39" s="13" t="str">
        <f aca="false">Roster!E39</f>
        <v>Existing</v>
      </c>
      <c r="D39" s="34" t="n">
        <f aca="false">Roster!D39</f>
        <v>3</v>
      </c>
      <c r="E39" s="35" t="n">
        <f aca="false">Roster!F39</f>
        <v>112000</v>
      </c>
      <c r="F39" s="36" t="n">
        <f aca="false">IF(Roster!E39="Open role",MAX(Assumptions!$B$14,EDATE(Roster!G39,IF(Roster!I39=2,Assumptions!$F$10,0)-Assumptions!$F$9)),Roster!G39)</f>
        <v>44105</v>
      </c>
      <c r="G39" s="36" t="n">
        <f aca="false">IF(Roster!H39="",DATE(2099,12,31),Roster!H39)</f>
        <v>73050</v>
      </c>
      <c r="H39" s="37" t="n">
        <f aca="false">IF(Roster!E39="Existing",1,IF(Roster!I39&lt;=Assumptions!$F$8,1,0))</f>
        <v>1</v>
      </c>
      <c r="I39" s="38" t="n">
        <f aca="false">IF(B39="Sales",Assumptions!$B$23,VLOOKUP(D39,Assumptions!$A$27:$B$31,2,FALSE()))</f>
        <v>0.3</v>
      </c>
      <c r="J39" s="37" t="n">
        <f aca="false">IF(F39&lt;Assumptions!$B$14,1,0)</f>
        <v>1</v>
      </c>
      <c r="K39" s="39" t="n">
        <f aca="false">IF($H39=1,MAX(0,MIN($G39,EOMONTH(K$5,0))-MAX($F39,K$5)+1)/DAY(EOMONTH(K$5,0)),0)</f>
        <v>1</v>
      </c>
      <c r="L39" s="39" t="n">
        <f aca="false">IF($H39=1,MAX(0,MIN($G39,EOMONTH(L$5,0))-MAX($F39,L$5)+1)/DAY(EOMONTH(L$5,0)),0)</f>
        <v>1</v>
      </c>
      <c r="M39" s="39" t="n">
        <f aca="false">IF($H39=1,MAX(0,MIN($G39,EOMONTH(M$5,0))-MAX($F39,M$5)+1)/DAY(EOMONTH(M$5,0)),0)</f>
        <v>1</v>
      </c>
      <c r="N39" s="39" t="n">
        <f aca="false">IF($H39=1,MAX(0,MIN($G39,EOMONTH(N$5,0))-MAX($F39,N$5)+1)/DAY(EOMONTH(N$5,0)),0)</f>
        <v>1</v>
      </c>
      <c r="O39" s="39" t="n">
        <f aca="false">IF($H39=1,MAX(0,MIN($G39,EOMONTH(O$5,0))-MAX($F39,O$5)+1)/DAY(EOMONTH(O$5,0)),0)</f>
        <v>1</v>
      </c>
      <c r="P39" s="39" t="n">
        <f aca="false">IF($H39=1,MAX(0,MIN($G39,EOMONTH(P$5,0))-MAX($F39,P$5)+1)/DAY(EOMONTH(P$5,0)),0)</f>
        <v>1</v>
      </c>
      <c r="Q39" s="39" t="n">
        <f aca="false">IF($H39=1,MAX(0,MIN($G39,EOMONTH(Q$5,0))-MAX($F39,Q$5)+1)/DAY(EOMONTH(Q$5,0)),0)</f>
        <v>1</v>
      </c>
      <c r="R39" s="39" t="n">
        <f aca="false">IF($H39=1,MAX(0,MIN($G39,EOMONTH(R$5,0))-MAX($F39,R$5)+1)/DAY(EOMONTH(R$5,0)),0)</f>
        <v>1</v>
      </c>
      <c r="S39" s="39" t="n">
        <f aca="false">IF($H39=1,MAX(0,MIN($G39,EOMONTH(S$5,0))-MAX($F39,S$5)+1)/DAY(EOMONTH(S$5,0)),0)</f>
        <v>1</v>
      </c>
      <c r="T39" s="39" t="n">
        <f aca="false">IF($H39=1,MAX(0,MIN($G39,EOMONTH(T$5,0))-MAX($F39,T$5)+1)/DAY(EOMONTH(T$5,0)),0)</f>
        <v>1</v>
      </c>
      <c r="U39" s="39" t="n">
        <f aca="false">IF($H39=1,MAX(0,MIN($G39,EOMONTH(U$5,0))-MAX($F39,U$5)+1)/DAY(EOMONTH(U$5,0)),0)</f>
        <v>1</v>
      </c>
      <c r="V39" s="39" t="n">
        <f aca="false">IF($H39=1,MAX(0,MIN($G39,EOMONTH(V$5,0))-MAX($F39,V$5)+1)/DAY(EOMONTH(V$5,0)),0)</f>
        <v>1</v>
      </c>
      <c r="W39" s="40" t="n">
        <f aca="false">$E39/12*K39*IF(AND($J39=1,W$5&gt;=Assumptions!$B$18),1+Assumptions!$B$17,1)</f>
        <v>9333.33333333333</v>
      </c>
      <c r="X39" s="40" t="n">
        <f aca="false">$E39/12*L39*IF(AND($J39=1,X$5&gt;=Assumptions!$B$18),1+Assumptions!$B$17,1)</f>
        <v>9333.33333333333</v>
      </c>
      <c r="Y39" s="40" t="n">
        <f aca="false">$E39/12*M39*IF(AND($J39=1,Y$5&gt;=Assumptions!$B$18),1+Assumptions!$B$17,1)</f>
        <v>9333.33333333333</v>
      </c>
      <c r="Z39" s="40" t="n">
        <f aca="false">$E39/12*N39*IF(AND($J39=1,Z$5&gt;=Assumptions!$B$18),1+Assumptions!$B$17,1)</f>
        <v>9660</v>
      </c>
      <c r="AA39" s="40" t="n">
        <f aca="false">$E39/12*O39*IF(AND($J39=1,AA$5&gt;=Assumptions!$B$18),1+Assumptions!$B$17,1)</f>
        <v>9660</v>
      </c>
      <c r="AB39" s="40" t="n">
        <f aca="false">$E39/12*P39*IF(AND($J39=1,AB$5&gt;=Assumptions!$B$18),1+Assumptions!$B$17,1)</f>
        <v>9660</v>
      </c>
      <c r="AC39" s="40" t="n">
        <f aca="false">$E39/12*Q39*IF(AND($J39=1,AC$5&gt;=Assumptions!$B$18),1+Assumptions!$B$17,1)</f>
        <v>9660</v>
      </c>
      <c r="AD39" s="40" t="n">
        <f aca="false">$E39/12*R39*IF(AND($J39=1,AD$5&gt;=Assumptions!$B$18),1+Assumptions!$B$17,1)</f>
        <v>9660</v>
      </c>
      <c r="AE39" s="40" t="n">
        <f aca="false">$E39/12*S39*IF(AND($J39=1,AE$5&gt;=Assumptions!$B$18),1+Assumptions!$B$17,1)</f>
        <v>9660</v>
      </c>
      <c r="AF39" s="40" t="n">
        <f aca="false">$E39/12*T39*IF(AND($J39=1,AF$5&gt;=Assumptions!$B$18),1+Assumptions!$B$17,1)</f>
        <v>9660</v>
      </c>
      <c r="AG39" s="40" t="n">
        <f aca="false">$E39/12*U39*IF(AND($J39=1,AG$5&gt;=Assumptions!$B$18),1+Assumptions!$B$17,1)</f>
        <v>9660</v>
      </c>
      <c r="AH39" s="40" t="n">
        <f aca="false">$E39/12*V39*IF(AND($J39=1,AH$5&gt;=Assumptions!$B$18),1+Assumptions!$B$17,1)</f>
        <v>9660</v>
      </c>
    </row>
    <row r="40" customFormat="false" ht="15" hidden="false" customHeight="true" outlineLevel="0" collapsed="false">
      <c r="A40" s="13" t="str">
        <f aca="false">Roster!A40</f>
        <v>SLS-110</v>
      </c>
      <c r="B40" s="13" t="str">
        <f aca="false">Roster!B40</f>
        <v>Sales</v>
      </c>
      <c r="C40" s="13" t="str">
        <f aca="false">Roster!E40</f>
        <v>Existing</v>
      </c>
      <c r="D40" s="34" t="n">
        <f aca="false">Roster!D40</f>
        <v>3</v>
      </c>
      <c r="E40" s="35" t="n">
        <f aca="false">Roster!F40</f>
        <v>109000</v>
      </c>
      <c r="F40" s="36" t="n">
        <f aca="false">IF(Roster!E40="Open role",MAX(Assumptions!$B$14,EDATE(Roster!G40,IF(Roster!I40=2,Assumptions!$F$10,0)-Assumptions!$F$9)),Roster!G40)</f>
        <v>44986</v>
      </c>
      <c r="G40" s="36" t="n">
        <f aca="false">IF(Roster!H40="",DATE(2099,12,31),Roster!H40)</f>
        <v>73050</v>
      </c>
      <c r="H40" s="37" t="n">
        <f aca="false">IF(Roster!E40="Existing",1,IF(Roster!I40&lt;=Assumptions!$F$8,1,0))</f>
        <v>1</v>
      </c>
      <c r="I40" s="38" t="n">
        <f aca="false">IF(B40="Sales",Assumptions!$B$23,VLOOKUP(D40,Assumptions!$A$27:$B$31,2,FALSE()))</f>
        <v>0.3</v>
      </c>
      <c r="J40" s="37" t="n">
        <f aca="false">IF(F40&lt;Assumptions!$B$14,1,0)</f>
        <v>1</v>
      </c>
      <c r="K40" s="39" t="n">
        <f aca="false">IF($H40=1,MAX(0,MIN($G40,EOMONTH(K$5,0))-MAX($F40,K$5)+1)/DAY(EOMONTH(K$5,0)),0)</f>
        <v>1</v>
      </c>
      <c r="L40" s="39" t="n">
        <f aca="false">IF($H40=1,MAX(0,MIN($G40,EOMONTH(L$5,0))-MAX($F40,L$5)+1)/DAY(EOMONTH(L$5,0)),0)</f>
        <v>1</v>
      </c>
      <c r="M40" s="39" t="n">
        <f aca="false">IF($H40=1,MAX(0,MIN($G40,EOMONTH(M$5,0))-MAX($F40,M$5)+1)/DAY(EOMONTH(M$5,0)),0)</f>
        <v>1</v>
      </c>
      <c r="N40" s="39" t="n">
        <f aca="false">IF($H40=1,MAX(0,MIN($G40,EOMONTH(N$5,0))-MAX($F40,N$5)+1)/DAY(EOMONTH(N$5,0)),0)</f>
        <v>1</v>
      </c>
      <c r="O40" s="39" t="n">
        <f aca="false">IF($H40=1,MAX(0,MIN($G40,EOMONTH(O$5,0))-MAX($F40,O$5)+1)/DAY(EOMONTH(O$5,0)),0)</f>
        <v>1</v>
      </c>
      <c r="P40" s="39" t="n">
        <f aca="false">IF($H40=1,MAX(0,MIN($G40,EOMONTH(P$5,0))-MAX($F40,P$5)+1)/DAY(EOMONTH(P$5,0)),0)</f>
        <v>1</v>
      </c>
      <c r="Q40" s="39" t="n">
        <f aca="false">IF($H40=1,MAX(0,MIN($G40,EOMONTH(Q$5,0))-MAX($F40,Q$5)+1)/DAY(EOMONTH(Q$5,0)),0)</f>
        <v>1</v>
      </c>
      <c r="R40" s="39" t="n">
        <f aca="false">IF($H40=1,MAX(0,MIN($G40,EOMONTH(R$5,0))-MAX($F40,R$5)+1)/DAY(EOMONTH(R$5,0)),0)</f>
        <v>1</v>
      </c>
      <c r="S40" s="39" t="n">
        <f aca="false">IF($H40=1,MAX(0,MIN($G40,EOMONTH(S$5,0))-MAX($F40,S$5)+1)/DAY(EOMONTH(S$5,0)),0)</f>
        <v>1</v>
      </c>
      <c r="T40" s="39" t="n">
        <f aca="false">IF($H40=1,MAX(0,MIN($G40,EOMONTH(T$5,0))-MAX($F40,T$5)+1)/DAY(EOMONTH(T$5,0)),0)</f>
        <v>1</v>
      </c>
      <c r="U40" s="39" t="n">
        <f aca="false">IF($H40=1,MAX(0,MIN($G40,EOMONTH(U$5,0))-MAX($F40,U$5)+1)/DAY(EOMONTH(U$5,0)),0)</f>
        <v>1</v>
      </c>
      <c r="V40" s="39" t="n">
        <f aca="false">IF($H40=1,MAX(0,MIN($G40,EOMONTH(V$5,0))-MAX($F40,V$5)+1)/DAY(EOMONTH(V$5,0)),0)</f>
        <v>1</v>
      </c>
      <c r="W40" s="40" t="n">
        <f aca="false">$E40/12*K40*IF(AND($J40=1,W$5&gt;=Assumptions!$B$18),1+Assumptions!$B$17,1)</f>
        <v>9083.33333333333</v>
      </c>
      <c r="X40" s="40" t="n">
        <f aca="false">$E40/12*L40*IF(AND($J40=1,X$5&gt;=Assumptions!$B$18),1+Assumptions!$B$17,1)</f>
        <v>9083.33333333333</v>
      </c>
      <c r="Y40" s="40" t="n">
        <f aca="false">$E40/12*M40*IF(AND($J40=1,Y$5&gt;=Assumptions!$B$18),1+Assumptions!$B$17,1)</f>
        <v>9083.33333333333</v>
      </c>
      <c r="Z40" s="40" t="n">
        <f aca="false">$E40/12*N40*IF(AND($J40=1,Z$5&gt;=Assumptions!$B$18),1+Assumptions!$B$17,1)</f>
        <v>9401.25</v>
      </c>
      <c r="AA40" s="40" t="n">
        <f aca="false">$E40/12*O40*IF(AND($J40=1,AA$5&gt;=Assumptions!$B$18),1+Assumptions!$B$17,1)</f>
        <v>9401.25</v>
      </c>
      <c r="AB40" s="40" t="n">
        <f aca="false">$E40/12*P40*IF(AND($J40=1,AB$5&gt;=Assumptions!$B$18),1+Assumptions!$B$17,1)</f>
        <v>9401.25</v>
      </c>
      <c r="AC40" s="40" t="n">
        <f aca="false">$E40/12*Q40*IF(AND($J40=1,AC$5&gt;=Assumptions!$B$18),1+Assumptions!$B$17,1)</f>
        <v>9401.25</v>
      </c>
      <c r="AD40" s="40" t="n">
        <f aca="false">$E40/12*R40*IF(AND($J40=1,AD$5&gt;=Assumptions!$B$18),1+Assumptions!$B$17,1)</f>
        <v>9401.25</v>
      </c>
      <c r="AE40" s="40" t="n">
        <f aca="false">$E40/12*S40*IF(AND($J40=1,AE$5&gt;=Assumptions!$B$18),1+Assumptions!$B$17,1)</f>
        <v>9401.25</v>
      </c>
      <c r="AF40" s="40" t="n">
        <f aca="false">$E40/12*T40*IF(AND($J40=1,AF$5&gt;=Assumptions!$B$18),1+Assumptions!$B$17,1)</f>
        <v>9401.25</v>
      </c>
      <c r="AG40" s="40" t="n">
        <f aca="false">$E40/12*U40*IF(AND($J40=1,AG$5&gt;=Assumptions!$B$18),1+Assumptions!$B$17,1)</f>
        <v>9401.25</v>
      </c>
      <c r="AH40" s="40" t="n">
        <f aca="false">$E40/12*V40*IF(AND($J40=1,AH$5&gt;=Assumptions!$B$18),1+Assumptions!$B$17,1)</f>
        <v>9401.25</v>
      </c>
    </row>
    <row r="41" customFormat="false" ht="15" hidden="false" customHeight="true" outlineLevel="0" collapsed="false">
      <c r="A41" s="13" t="str">
        <f aca="false">Roster!A41</f>
        <v>SLS-111</v>
      </c>
      <c r="B41" s="13" t="str">
        <f aca="false">Roster!B41</f>
        <v>Sales</v>
      </c>
      <c r="C41" s="13" t="str">
        <f aca="false">Roster!E41</f>
        <v>Existing</v>
      </c>
      <c r="D41" s="34" t="n">
        <f aca="false">Roster!D41</f>
        <v>4</v>
      </c>
      <c r="E41" s="35" t="n">
        <f aca="false">Roster!F41</f>
        <v>143000</v>
      </c>
      <c r="F41" s="36" t="n">
        <f aca="false">IF(Roster!E41="Open role",MAX(Assumptions!$B$14,EDATE(Roster!G41,IF(Roster!I41=2,Assumptions!$F$10,0)-Assumptions!$F$9)),Roster!G41)</f>
        <v>46235</v>
      </c>
      <c r="G41" s="36" t="n">
        <f aca="false">IF(Roster!H41="",DATE(2099,12,31),Roster!H41)</f>
        <v>73050</v>
      </c>
      <c r="H41" s="37" t="n">
        <f aca="false">IF(Roster!E41="Existing",1,IF(Roster!I41&lt;=Assumptions!$F$8,1,0))</f>
        <v>1</v>
      </c>
      <c r="I41" s="38" t="n">
        <f aca="false">IF(B41="Sales",Assumptions!$B$23,VLOOKUP(D41,Assumptions!$A$27:$B$31,2,FALSE()))</f>
        <v>0.3</v>
      </c>
      <c r="J41" s="37" t="n">
        <f aca="false">IF(F41&lt;Assumptions!$B$14,1,0)</f>
        <v>1</v>
      </c>
      <c r="K41" s="39" t="n">
        <f aca="false">IF($H41=1,MAX(0,MIN($G41,EOMONTH(K$5,0))-MAX($F41,K$5)+1)/DAY(EOMONTH(K$5,0)),0)</f>
        <v>1</v>
      </c>
      <c r="L41" s="39" t="n">
        <f aca="false">IF($H41=1,MAX(0,MIN($G41,EOMONTH(L$5,0))-MAX($F41,L$5)+1)/DAY(EOMONTH(L$5,0)),0)</f>
        <v>1</v>
      </c>
      <c r="M41" s="39" t="n">
        <f aca="false">IF($H41=1,MAX(0,MIN($G41,EOMONTH(M$5,0))-MAX($F41,M$5)+1)/DAY(EOMONTH(M$5,0)),0)</f>
        <v>1</v>
      </c>
      <c r="N41" s="39" t="n">
        <f aca="false">IF($H41=1,MAX(0,MIN($G41,EOMONTH(N$5,0))-MAX($F41,N$5)+1)/DAY(EOMONTH(N$5,0)),0)</f>
        <v>1</v>
      </c>
      <c r="O41" s="39" t="n">
        <f aca="false">IF($H41=1,MAX(0,MIN($G41,EOMONTH(O$5,0))-MAX($F41,O$5)+1)/DAY(EOMONTH(O$5,0)),0)</f>
        <v>1</v>
      </c>
      <c r="P41" s="39" t="n">
        <f aca="false">IF($H41=1,MAX(0,MIN($G41,EOMONTH(P$5,0))-MAX($F41,P$5)+1)/DAY(EOMONTH(P$5,0)),0)</f>
        <v>1</v>
      </c>
      <c r="Q41" s="39" t="n">
        <f aca="false">IF($H41=1,MAX(0,MIN($G41,EOMONTH(Q$5,0))-MAX($F41,Q$5)+1)/DAY(EOMONTH(Q$5,0)),0)</f>
        <v>1</v>
      </c>
      <c r="R41" s="39" t="n">
        <f aca="false">IF($H41=1,MAX(0,MIN($G41,EOMONTH(R$5,0))-MAX($F41,R$5)+1)/DAY(EOMONTH(R$5,0)),0)</f>
        <v>1</v>
      </c>
      <c r="S41" s="39" t="n">
        <f aca="false">IF($H41=1,MAX(0,MIN($G41,EOMONTH(S$5,0))-MAX($F41,S$5)+1)/DAY(EOMONTH(S$5,0)),0)</f>
        <v>1</v>
      </c>
      <c r="T41" s="39" t="n">
        <f aca="false">IF($H41=1,MAX(0,MIN($G41,EOMONTH(T$5,0))-MAX($F41,T$5)+1)/DAY(EOMONTH(T$5,0)),0)</f>
        <v>1</v>
      </c>
      <c r="U41" s="39" t="n">
        <f aca="false">IF($H41=1,MAX(0,MIN($G41,EOMONTH(U$5,0))-MAX($F41,U$5)+1)/DAY(EOMONTH(U$5,0)),0)</f>
        <v>1</v>
      </c>
      <c r="V41" s="39" t="n">
        <f aca="false">IF($H41=1,MAX(0,MIN($G41,EOMONTH(V$5,0))-MAX($F41,V$5)+1)/DAY(EOMONTH(V$5,0)),0)</f>
        <v>1</v>
      </c>
      <c r="W41" s="40" t="n">
        <f aca="false">$E41/12*K41*IF(AND($J41=1,W$5&gt;=Assumptions!$B$18),1+Assumptions!$B$17,1)</f>
        <v>11916.6666666667</v>
      </c>
      <c r="X41" s="40" t="n">
        <f aca="false">$E41/12*L41*IF(AND($J41=1,X$5&gt;=Assumptions!$B$18),1+Assumptions!$B$17,1)</f>
        <v>11916.6666666667</v>
      </c>
      <c r="Y41" s="40" t="n">
        <f aca="false">$E41/12*M41*IF(AND($J41=1,Y$5&gt;=Assumptions!$B$18),1+Assumptions!$B$17,1)</f>
        <v>11916.6666666667</v>
      </c>
      <c r="Z41" s="40" t="n">
        <f aca="false">$E41/12*N41*IF(AND($J41=1,Z$5&gt;=Assumptions!$B$18),1+Assumptions!$B$17,1)</f>
        <v>12333.75</v>
      </c>
      <c r="AA41" s="40" t="n">
        <f aca="false">$E41/12*O41*IF(AND($J41=1,AA$5&gt;=Assumptions!$B$18),1+Assumptions!$B$17,1)</f>
        <v>12333.75</v>
      </c>
      <c r="AB41" s="40" t="n">
        <f aca="false">$E41/12*P41*IF(AND($J41=1,AB$5&gt;=Assumptions!$B$18),1+Assumptions!$B$17,1)</f>
        <v>12333.75</v>
      </c>
      <c r="AC41" s="40" t="n">
        <f aca="false">$E41/12*Q41*IF(AND($J41=1,AC$5&gt;=Assumptions!$B$18),1+Assumptions!$B$17,1)</f>
        <v>12333.75</v>
      </c>
      <c r="AD41" s="40" t="n">
        <f aca="false">$E41/12*R41*IF(AND($J41=1,AD$5&gt;=Assumptions!$B$18),1+Assumptions!$B$17,1)</f>
        <v>12333.75</v>
      </c>
      <c r="AE41" s="40" t="n">
        <f aca="false">$E41/12*S41*IF(AND($J41=1,AE$5&gt;=Assumptions!$B$18),1+Assumptions!$B$17,1)</f>
        <v>12333.75</v>
      </c>
      <c r="AF41" s="40" t="n">
        <f aca="false">$E41/12*T41*IF(AND($J41=1,AF$5&gt;=Assumptions!$B$18),1+Assumptions!$B$17,1)</f>
        <v>12333.75</v>
      </c>
      <c r="AG41" s="40" t="n">
        <f aca="false">$E41/12*U41*IF(AND($J41=1,AG$5&gt;=Assumptions!$B$18),1+Assumptions!$B$17,1)</f>
        <v>12333.75</v>
      </c>
      <c r="AH41" s="40" t="n">
        <f aca="false">$E41/12*V41*IF(AND($J41=1,AH$5&gt;=Assumptions!$B$18),1+Assumptions!$B$17,1)</f>
        <v>12333.75</v>
      </c>
    </row>
    <row r="42" customFormat="false" ht="15" hidden="false" customHeight="true" outlineLevel="0" collapsed="false">
      <c r="A42" s="13" t="str">
        <f aca="false">Roster!A42</f>
        <v>SLS-112</v>
      </c>
      <c r="B42" s="13" t="str">
        <f aca="false">Roster!B42</f>
        <v>Sales</v>
      </c>
      <c r="C42" s="13" t="str">
        <f aca="false">Roster!E42</f>
        <v>Existing</v>
      </c>
      <c r="D42" s="34" t="n">
        <f aca="false">Roster!D42</f>
        <v>5</v>
      </c>
      <c r="E42" s="35" t="n">
        <f aca="false">Roster!F42</f>
        <v>183500</v>
      </c>
      <c r="F42" s="36" t="n">
        <f aca="false">IF(Roster!E42="Open role",MAX(Assumptions!$B$14,EDATE(Roster!G42,IF(Roster!I42=2,Assumptions!$F$10,0)-Assumptions!$F$9)),Roster!G42)</f>
        <v>44197</v>
      </c>
      <c r="G42" s="36" t="n">
        <f aca="false">IF(Roster!H42="",DATE(2099,12,31),Roster!H42)</f>
        <v>73050</v>
      </c>
      <c r="H42" s="37" t="n">
        <f aca="false">IF(Roster!E42="Existing",1,IF(Roster!I42&lt;=Assumptions!$F$8,1,0))</f>
        <v>1</v>
      </c>
      <c r="I42" s="38" t="n">
        <f aca="false">IF(B42="Sales",Assumptions!$B$23,VLOOKUP(D42,Assumptions!$A$27:$B$31,2,FALSE()))</f>
        <v>0.3</v>
      </c>
      <c r="J42" s="37" t="n">
        <f aca="false">IF(F42&lt;Assumptions!$B$14,1,0)</f>
        <v>1</v>
      </c>
      <c r="K42" s="39" t="n">
        <f aca="false">IF($H42=1,MAX(0,MIN($G42,EOMONTH(K$5,0))-MAX($F42,K$5)+1)/DAY(EOMONTH(K$5,0)),0)</f>
        <v>1</v>
      </c>
      <c r="L42" s="39" t="n">
        <f aca="false">IF($H42=1,MAX(0,MIN($G42,EOMONTH(L$5,0))-MAX($F42,L$5)+1)/DAY(EOMONTH(L$5,0)),0)</f>
        <v>1</v>
      </c>
      <c r="M42" s="39" t="n">
        <f aca="false">IF($H42=1,MAX(0,MIN($G42,EOMONTH(M$5,0))-MAX($F42,M$5)+1)/DAY(EOMONTH(M$5,0)),0)</f>
        <v>1</v>
      </c>
      <c r="N42" s="39" t="n">
        <f aca="false">IF($H42=1,MAX(0,MIN($G42,EOMONTH(N$5,0))-MAX($F42,N$5)+1)/DAY(EOMONTH(N$5,0)),0)</f>
        <v>1</v>
      </c>
      <c r="O42" s="39" t="n">
        <f aca="false">IF($H42=1,MAX(0,MIN($G42,EOMONTH(O$5,0))-MAX($F42,O$5)+1)/DAY(EOMONTH(O$5,0)),0)</f>
        <v>1</v>
      </c>
      <c r="P42" s="39" t="n">
        <f aca="false">IF($H42=1,MAX(0,MIN($G42,EOMONTH(P$5,0))-MAX($F42,P$5)+1)/DAY(EOMONTH(P$5,0)),0)</f>
        <v>1</v>
      </c>
      <c r="Q42" s="39" t="n">
        <f aca="false">IF($H42=1,MAX(0,MIN($G42,EOMONTH(Q$5,0))-MAX($F42,Q$5)+1)/DAY(EOMONTH(Q$5,0)),0)</f>
        <v>1</v>
      </c>
      <c r="R42" s="39" t="n">
        <f aca="false">IF($H42=1,MAX(0,MIN($G42,EOMONTH(R$5,0))-MAX($F42,R$5)+1)/DAY(EOMONTH(R$5,0)),0)</f>
        <v>1</v>
      </c>
      <c r="S42" s="39" t="n">
        <f aca="false">IF($H42=1,MAX(0,MIN($G42,EOMONTH(S$5,0))-MAX($F42,S$5)+1)/DAY(EOMONTH(S$5,0)),0)</f>
        <v>1</v>
      </c>
      <c r="T42" s="39" t="n">
        <f aca="false">IF($H42=1,MAX(0,MIN($G42,EOMONTH(T$5,0))-MAX($F42,T$5)+1)/DAY(EOMONTH(T$5,0)),0)</f>
        <v>1</v>
      </c>
      <c r="U42" s="39" t="n">
        <f aca="false">IF($H42=1,MAX(0,MIN($G42,EOMONTH(U$5,0))-MAX($F42,U$5)+1)/DAY(EOMONTH(U$5,0)),0)</f>
        <v>1</v>
      </c>
      <c r="V42" s="39" t="n">
        <f aca="false">IF($H42=1,MAX(0,MIN($G42,EOMONTH(V$5,0))-MAX($F42,V$5)+1)/DAY(EOMONTH(V$5,0)),0)</f>
        <v>1</v>
      </c>
      <c r="W42" s="40" t="n">
        <f aca="false">$E42/12*K42*IF(AND($J42=1,W$5&gt;=Assumptions!$B$18),1+Assumptions!$B$17,1)</f>
        <v>15291.6666666667</v>
      </c>
      <c r="X42" s="40" t="n">
        <f aca="false">$E42/12*L42*IF(AND($J42=1,X$5&gt;=Assumptions!$B$18),1+Assumptions!$B$17,1)</f>
        <v>15291.6666666667</v>
      </c>
      <c r="Y42" s="40" t="n">
        <f aca="false">$E42/12*M42*IF(AND($J42=1,Y$5&gt;=Assumptions!$B$18),1+Assumptions!$B$17,1)</f>
        <v>15291.6666666667</v>
      </c>
      <c r="Z42" s="40" t="n">
        <f aca="false">$E42/12*N42*IF(AND($J42=1,Z$5&gt;=Assumptions!$B$18),1+Assumptions!$B$17,1)</f>
        <v>15826.875</v>
      </c>
      <c r="AA42" s="40" t="n">
        <f aca="false">$E42/12*O42*IF(AND($J42=1,AA$5&gt;=Assumptions!$B$18),1+Assumptions!$B$17,1)</f>
        <v>15826.875</v>
      </c>
      <c r="AB42" s="40" t="n">
        <f aca="false">$E42/12*P42*IF(AND($J42=1,AB$5&gt;=Assumptions!$B$18),1+Assumptions!$B$17,1)</f>
        <v>15826.875</v>
      </c>
      <c r="AC42" s="40" t="n">
        <f aca="false">$E42/12*Q42*IF(AND($J42=1,AC$5&gt;=Assumptions!$B$18),1+Assumptions!$B$17,1)</f>
        <v>15826.875</v>
      </c>
      <c r="AD42" s="40" t="n">
        <f aca="false">$E42/12*R42*IF(AND($J42=1,AD$5&gt;=Assumptions!$B$18),1+Assumptions!$B$17,1)</f>
        <v>15826.875</v>
      </c>
      <c r="AE42" s="40" t="n">
        <f aca="false">$E42/12*S42*IF(AND($J42=1,AE$5&gt;=Assumptions!$B$18),1+Assumptions!$B$17,1)</f>
        <v>15826.875</v>
      </c>
      <c r="AF42" s="40" t="n">
        <f aca="false">$E42/12*T42*IF(AND($J42=1,AF$5&gt;=Assumptions!$B$18),1+Assumptions!$B$17,1)</f>
        <v>15826.875</v>
      </c>
      <c r="AG42" s="40" t="n">
        <f aca="false">$E42/12*U42*IF(AND($J42=1,AG$5&gt;=Assumptions!$B$18),1+Assumptions!$B$17,1)</f>
        <v>15826.875</v>
      </c>
      <c r="AH42" s="40" t="n">
        <f aca="false">$E42/12*V42*IF(AND($J42=1,AH$5&gt;=Assumptions!$B$18),1+Assumptions!$B$17,1)</f>
        <v>15826.875</v>
      </c>
    </row>
    <row r="43" customFormat="false" ht="15" hidden="false" customHeight="true" outlineLevel="0" collapsed="false">
      <c r="A43" s="13" t="str">
        <f aca="false">Roster!A43</f>
        <v>MKT-101</v>
      </c>
      <c r="B43" s="13" t="str">
        <f aca="false">Roster!B43</f>
        <v>Marketing</v>
      </c>
      <c r="C43" s="13" t="str">
        <f aca="false">Roster!E43</f>
        <v>Existing</v>
      </c>
      <c r="D43" s="34" t="n">
        <f aca="false">Roster!D43</f>
        <v>1</v>
      </c>
      <c r="E43" s="35" t="n">
        <f aca="false">Roster!F43</f>
        <v>67000</v>
      </c>
      <c r="F43" s="36" t="n">
        <f aca="false">IF(Roster!E43="Open role",MAX(Assumptions!$B$14,EDATE(Roster!G43,IF(Roster!I43=2,Assumptions!$F$10,0)-Assumptions!$F$9)),Roster!G43)</f>
        <v>45078</v>
      </c>
      <c r="G43" s="36" t="n">
        <f aca="false">IF(Roster!H43="",DATE(2099,12,31),Roster!H43)</f>
        <v>73050</v>
      </c>
      <c r="H43" s="37" t="n">
        <f aca="false">IF(Roster!E43="Existing",1,IF(Roster!I43&lt;=Assumptions!$F$8,1,0))</f>
        <v>1</v>
      </c>
      <c r="I43" s="38" t="n">
        <f aca="false">IF(B43="Sales",Assumptions!$B$23,VLOOKUP(D43,Assumptions!$A$27:$B$31,2,FALSE()))</f>
        <v>0.05</v>
      </c>
      <c r="J43" s="37" t="n">
        <f aca="false">IF(F43&lt;Assumptions!$B$14,1,0)</f>
        <v>1</v>
      </c>
      <c r="K43" s="39" t="n">
        <f aca="false">IF($H43=1,MAX(0,MIN($G43,EOMONTH(K$5,0))-MAX($F43,K$5)+1)/DAY(EOMONTH(K$5,0)),0)</f>
        <v>1</v>
      </c>
      <c r="L43" s="39" t="n">
        <f aca="false">IF($H43=1,MAX(0,MIN($G43,EOMONTH(L$5,0))-MAX($F43,L$5)+1)/DAY(EOMONTH(L$5,0)),0)</f>
        <v>1</v>
      </c>
      <c r="M43" s="39" t="n">
        <f aca="false">IF($H43=1,MAX(0,MIN($G43,EOMONTH(M$5,0))-MAX($F43,M$5)+1)/DAY(EOMONTH(M$5,0)),0)</f>
        <v>1</v>
      </c>
      <c r="N43" s="39" t="n">
        <f aca="false">IF($H43=1,MAX(0,MIN($G43,EOMONTH(N$5,0))-MAX($F43,N$5)+1)/DAY(EOMONTH(N$5,0)),0)</f>
        <v>1</v>
      </c>
      <c r="O43" s="39" t="n">
        <f aca="false">IF($H43=1,MAX(0,MIN($G43,EOMONTH(O$5,0))-MAX($F43,O$5)+1)/DAY(EOMONTH(O$5,0)),0)</f>
        <v>1</v>
      </c>
      <c r="P43" s="39" t="n">
        <f aca="false">IF($H43=1,MAX(0,MIN($G43,EOMONTH(P$5,0))-MAX($F43,P$5)+1)/DAY(EOMONTH(P$5,0)),0)</f>
        <v>1</v>
      </c>
      <c r="Q43" s="39" t="n">
        <f aca="false">IF($H43=1,MAX(0,MIN($G43,EOMONTH(Q$5,0))-MAX($F43,Q$5)+1)/DAY(EOMONTH(Q$5,0)),0)</f>
        <v>1</v>
      </c>
      <c r="R43" s="39" t="n">
        <f aca="false">IF($H43=1,MAX(0,MIN($G43,EOMONTH(R$5,0))-MAX($F43,R$5)+1)/DAY(EOMONTH(R$5,0)),0)</f>
        <v>1</v>
      </c>
      <c r="S43" s="39" t="n">
        <f aca="false">IF($H43=1,MAX(0,MIN($G43,EOMONTH(S$5,0))-MAX($F43,S$5)+1)/DAY(EOMONTH(S$5,0)),0)</f>
        <v>1</v>
      </c>
      <c r="T43" s="39" t="n">
        <f aca="false">IF($H43=1,MAX(0,MIN($G43,EOMONTH(T$5,0))-MAX($F43,T$5)+1)/DAY(EOMONTH(T$5,0)),0)</f>
        <v>1</v>
      </c>
      <c r="U43" s="39" t="n">
        <f aca="false">IF($H43=1,MAX(0,MIN($G43,EOMONTH(U$5,0))-MAX($F43,U$5)+1)/DAY(EOMONTH(U$5,0)),0)</f>
        <v>1</v>
      </c>
      <c r="V43" s="39" t="n">
        <f aca="false">IF($H43=1,MAX(0,MIN($G43,EOMONTH(V$5,0))-MAX($F43,V$5)+1)/DAY(EOMONTH(V$5,0)),0)</f>
        <v>1</v>
      </c>
      <c r="W43" s="40" t="n">
        <f aca="false">$E43/12*K43*IF(AND($J43=1,W$5&gt;=Assumptions!$B$18),1+Assumptions!$B$17,1)</f>
        <v>5583.33333333333</v>
      </c>
      <c r="X43" s="40" t="n">
        <f aca="false">$E43/12*L43*IF(AND($J43=1,X$5&gt;=Assumptions!$B$18),1+Assumptions!$B$17,1)</f>
        <v>5583.33333333333</v>
      </c>
      <c r="Y43" s="40" t="n">
        <f aca="false">$E43/12*M43*IF(AND($J43=1,Y$5&gt;=Assumptions!$B$18),1+Assumptions!$B$17,1)</f>
        <v>5583.33333333333</v>
      </c>
      <c r="Z43" s="40" t="n">
        <f aca="false">$E43/12*N43*IF(AND($J43=1,Z$5&gt;=Assumptions!$B$18),1+Assumptions!$B$17,1)</f>
        <v>5778.75</v>
      </c>
      <c r="AA43" s="40" t="n">
        <f aca="false">$E43/12*O43*IF(AND($J43=1,AA$5&gt;=Assumptions!$B$18),1+Assumptions!$B$17,1)</f>
        <v>5778.75</v>
      </c>
      <c r="AB43" s="40" t="n">
        <f aca="false">$E43/12*P43*IF(AND($J43=1,AB$5&gt;=Assumptions!$B$18),1+Assumptions!$B$17,1)</f>
        <v>5778.75</v>
      </c>
      <c r="AC43" s="40" t="n">
        <f aca="false">$E43/12*Q43*IF(AND($J43=1,AC$5&gt;=Assumptions!$B$18),1+Assumptions!$B$17,1)</f>
        <v>5778.75</v>
      </c>
      <c r="AD43" s="40" t="n">
        <f aca="false">$E43/12*R43*IF(AND($J43=1,AD$5&gt;=Assumptions!$B$18),1+Assumptions!$B$17,1)</f>
        <v>5778.75</v>
      </c>
      <c r="AE43" s="40" t="n">
        <f aca="false">$E43/12*S43*IF(AND($J43=1,AE$5&gt;=Assumptions!$B$18),1+Assumptions!$B$17,1)</f>
        <v>5778.75</v>
      </c>
      <c r="AF43" s="40" t="n">
        <f aca="false">$E43/12*T43*IF(AND($J43=1,AF$5&gt;=Assumptions!$B$18),1+Assumptions!$B$17,1)</f>
        <v>5778.75</v>
      </c>
      <c r="AG43" s="40" t="n">
        <f aca="false">$E43/12*U43*IF(AND($J43=1,AG$5&gt;=Assumptions!$B$18),1+Assumptions!$B$17,1)</f>
        <v>5778.75</v>
      </c>
      <c r="AH43" s="40" t="n">
        <f aca="false">$E43/12*V43*IF(AND($J43=1,AH$5&gt;=Assumptions!$B$18),1+Assumptions!$B$17,1)</f>
        <v>5778.75</v>
      </c>
    </row>
    <row r="44" customFormat="false" ht="15" hidden="false" customHeight="true" outlineLevel="0" collapsed="false">
      <c r="A44" s="13" t="str">
        <f aca="false">Roster!A44</f>
        <v>MKT-102</v>
      </c>
      <c r="B44" s="13" t="str">
        <f aca="false">Roster!B44</f>
        <v>Marketing</v>
      </c>
      <c r="C44" s="13" t="str">
        <f aca="false">Roster!E44</f>
        <v>Existing</v>
      </c>
      <c r="D44" s="34" t="n">
        <f aca="false">Roster!D44</f>
        <v>1</v>
      </c>
      <c r="E44" s="35" t="n">
        <f aca="false">Roster!F44</f>
        <v>71000</v>
      </c>
      <c r="F44" s="36" t="n">
        <f aca="false">IF(Roster!E44="Open role",MAX(Assumptions!$B$14,EDATE(Roster!G44,IF(Roster!I44=2,Assumptions!$F$10,0)-Assumptions!$F$9)),Roster!G44)</f>
        <v>46327</v>
      </c>
      <c r="G44" s="36" t="n">
        <f aca="false">IF(Roster!H44="",DATE(2099,12,31),Roster!H44)</f>
        <v>73050</v>
      </c>
      <c r="H44" s="37" t="n">
        <f aca="false">IF(Roster!E44="Existing",1,IF(Roster!I44&lt;=Assumptions!$F$8,1,0))</f>
        <v>1</v>
      </c>
      <c r="I44" s="38" t="n">
        <f aca="false">IF(B44="Sales",Assumptions!$B$23,VLOOKUP(D44,Assumptions!$A$27:$B$31,2,FALSE()))</f>
        <v>0.05</v>
      </c>
      <c r="J44" s="37" t="n">
        <f aca="false">IF(F44&lt;Assumptions!$B$14,1,0)</f>
        <v>1</v>
      </c>
      <c r="K44" s="39" t="n">
        <f aca="false">IF($H44=1,MAX(0,MIN($G44,EOMONTH(K$5,0))-MAX($F44,K$5)+1)/DAY(EOMONTH(K$5,0)),0)</f>
        <v>1</v>
      </c>
      <c r="L44" s="39" t="n">
        <f aca="false">IF($H44=1,MAX(0,MIN($G44,EOMONTH(L$5,0))-MAX($F44,L$5)+1)/DAY(EOMONTH(L$5,0)),0)</f>
        <v>1</v>
      </c>
      <c r="M44" s="39" t="n">
        <f aca="false">IF($H44=1,MAX(0,MIN($G44,EOMONTH(M$5,0))-MAX($F44,M$5)+1)/DAY(EOMONTH(M$5,0)),0)</f>
        <v>1</v>
      </c>
      <c r="N44" s="39" t="n">
        <f aca="false">IF($H44=1,MAX(0,MIN($G44,EOMONTH(N$5,0))-MAX($F44,N$5)+1)/DAY(EOMONTH(N$5,0)),0)</f>
        <v>1</v>
      </c>
      <c r="O44" s="39" t="n">
        <f aca="false">IF($H44=1,MAX(0,MIN($G44,EOMONTH(O$5,0))-MAX($F44,O$5)+1)/DAY(EOMONTH(O$5,0)),0)</f>
        <v>1</v>
      </c>
      <c r="P44" s="39" t="n">
        <f aca="false">IF($H44=1,MAX(0,MIN($G44,EOMONTH(P$5,0))-MAX($F44,P$5)+1)/DAY(EOMONTH(P$5,0)),0)</f>
        <v>1</v>
      </c>
      <c r="Q44" s="39" t="n">
        <f aca="false">IF($H44=1,MAX(0,MIN($G44,EOMONTH(Q$5,0))-MAX($F44,Q$5)+1)/DAY(EOMONTH(Q$5,0)),0)</f>
        <v>1</v>
      </c>
      <c r="R44" s="39" t="n">
        <f aca="false">IF($H44=1,MAX(0,MIN($G44,EOMONTH(R$5,0))-MAX($F44,R$5)+1)/DAY(EOMONTH(R$5,0)),0)</f>
        <v>1</v>
      </c>
      <c r="S44" s="39" t="n">
        <f aca="false">IF($H44=1,MAX(0,MIN($G44,EOMONTH(S$5,0))-MAX($F44,S$5)+1)/DAY(EOMONTH(S$5,0)),0)</f>
        <v>1</v>
      </c>
      <c r="T44" s="39" t="n">
        <f aca="false">IF($H44=1,MAX(0,MIN($G44,EOMONTH(T$5,0))-MAX($F44,T$5)+1)/DAY(EOMONTH(T$5,0)),0)</f>
        <v>1</v>
      </c>
      <c r="U44" s="39" t="n">
        <f aca="false">IF($H44=1,MAX(0,MIN($G44,EOMONTH(U$5,0))-MAX($F44,U$5)+1)/DAY(EOMONTH(U$5,0)),0)</f>
        <v>1</v>
      </c>
      <c r="V44" s="39" t="n">
        <f aca="false">IF($H44=1,MAX(0,MIN($G44,EOMONTH(V$5,0))-MAX($F44,V$5)+1)/DAY(EOMONTH(V$5,0)),0)</f>
        <v>1</v>
      </c>
      <c r="W44" s="40" t="n">
        <f aca="false">$E44/12*K44*IF(AND($J44=1,W$5&gt;=Assumptions!$B$18),1+Assumptions!$B$17,1)</f>
        <v>5916.66666666667</v>
      </c>
      <c r="X44" s="40" t="n">
        <f aca="false">$E44/12*L44*IF(AND($J44=1,X$5&gt;=Assumptions!$B$18),1+Assumptions!$B$17,1)</f>
        <v>5916.66666666667</v>
      </c>
      <c r="Y44" s="40" t="n">
        <f aca="false">$E44/12*M44*IF(AND($J44=1,Y$5&gt;=Assumptions!$B$18),1+Assumptions!$B$17,1)</f>
        <v>5916.66666666667</v>
      </c>
      <c r="Z44" s="40" t="n">
        <f aca="false">$E44/12*N44*IF(AND($J44=1,Z$5&gt;=Assumptions!$B$18),1+Assumptions!$B$17,1)</f>
        <v>6123.75</v>
      </c>
      <c r="AA44" s="40" t="n">
        <f aca="false">$E44/12*O44*IF(AND($J44=1,AA$5&gt;=Assumptions!$B$18),1+Assumptions!$B$17,1)</f>
        <v>6123.75</v>
      </c>
      <c r="AB44" s="40" t="n">
        <f aca="false">$E44/12*P44*IF(AND($J44=1,AB$5&gt;=Assumptions!$B$18),1+Assumptions!$B$17,1)</f>
        <v>6123.75</v>
      </c>
      <c r="AC44" s="40" t="n">
        <f aca="false">$E44/12*Q44*IF(AND($J44=1,AC$5&gt;=Assumptions!$B$18),1+Assumptions!$B$17,1)</f>
        <v>6123.75</v>
      </c>
      <c r="AD44" s="40" t="n">
        <f aca="false">$E44/12*R44*IF(AND($J44=1,AD$5&gt;=Assumptions!$B$18),1+Assumptions!$B$17,1)</f>
        <v>6123.75</v>
      </c>
      <c r="AE44" s="40" t="n">
        <f aca="false">$E44/12*S44*IF(AND($J44=1,AE$5&gt;=Assumptions!$B$18),1+Assumptions!$B$17,1)</f>
        <v>6123.75</v>
      </c>
      <c r="AF44" s="40" t="n">
        <f aca="false">$E44/12*T44*IF(AND($J44=1,AF$5&gt;=Assumptions!$B$18),1+Assumptions!$B$17,1)</f>
        <v>6123.75</v>
      </c>
      <c r="AG44" s="40" t="n">
        <f aca="false">$E44/12*U44*IF(AND($J44=1,AG$5&gt;=Assumptions!$B$18),1+Assumptions!$B$17,1)</f>
        <v>6123.75</v>
      </c>
      <c r="AH44" s="40" t="n">
        <f aca="false">$E44/12*V44*IF(AND($J44=1,AH$5&gt;=Assumptions!$B$18),1+Assumptions!$B$17,1)</f>
        <v>6123.75</v>
      </c>
    </row>
    <row r="45" customFormat="false" ht="15" hidden="false" customHeight="true" outlineLevel="0" collapsed="false">
      <c r="A45" s="13" t="str">
        <f aca="false">Roster!A45</f>
        <v>MKT-103</v>
      </c>
      <c r="B45" s="13" t="str">
        <f aca="false">Roster!B45</f>
        <v>Marketing</v>
      </c>
      <c r="C45" s="13" t="str">
        <f aca="false">Roster!E45</f>
        <v>Existing</v>
      </c>
      <c r="D45" s="34" t="n">
        <f aca="false">Roster!D45</f>
        <v>2</v>
      </c>
      <c r="E45" s="35" t="n">
        <f aca="false">Roster!F45</f>
        <v>86500</v>
      </c>
      <c r="F45" s="36" t="n">
        <f aca="false">IF(Roster!E45="Open role",MAX(Assumptions!$B$14,EDATE(Roster!G45,IF(Roster!I45=2,Assumptions!$F$10,0)-Assumptions!$F$9)),Roster!G45)</f>
        <v>44287</v>
      </c>
      <c r="G45" s="36" t="n">
        <f aca="false">IF(Roster!H45="",DATE(2099,12,31),Roster!H45)</f>
        <v>73050</v>
      </c>
      <c r="H45" s="37" t="n">
        <f aca="false">IF(Roster!E45="Existing",1,IF(Roster!I45&lt;=Assumptions!$F$8,1,0))</f>
        <v>1</v>
      </c>
      <c r="I45" s="38" t="n">
        <f aca="false">IF(B45="Sales",Assumptions!$B$23,VLOOKUP(D45,Assumptions!$A$27:$B$31,2,FALSE()))</f>
        <v>0.08</v>
      </c>
      <c r="J45" s="37" t="n">
        <f aca="false">IF(F45&lt;Assumptions!$B$14,1,0)</f>
        <v>1</v>
      </c>
      <c r="K45" s="39" t="n">
        <f aca="false">IF($H45=1,MAX(0,MIN($G45,EOMONTH(K$5,0))-MAX($F45,K$5)+1)/DAY(EOMONTH(K$5,0)),0)</f>
        <v>1</v>
      </c>
      <c r="L45" s="39" t="n">
        <f aca="false">IF($H45=1,MAX(0,MIN($G45,EOMONTH(L$5,0))-MAX($F45,L$5)+1)/DAY(EOMONTH(L$5,0)),0)</f>
        <v>1</v>
      </c>
      <c r="M45" s="39" t="n">
        <f aca="false">IF($H45=1,MAX(0,MIN($G45,EOMONTH(M$5,0))-MAX($F45,M$5)+1)/DAY(EOMONTH(M$5,0)),0)</f>
        <v>1</v>
      </c>
      <c r="N45" s="39" t="n">
        <f aca="false">IF($H45=1,MAX(0,MIN($G45,EOMONTH(N$5,0))-MAX($F45,N$5)+1)/DAY(EOMONTH(N$5,0)),0)</f>
        <v>1</v>
      </c>
      <c r="O45" s="39" t="n">
        <f aca="false">IF($H45=1,MAX(0,MIN($G45,EOMONTH(O$5,0))-MAX($F45,O$5)+1)/DAY(EOMONTH(O$5,0)),0)</f>
        <v>1</v>
      </c>
      <c r="P45" s="39" t="n">
        <f aca="false">IF($H45=1,MAX(0,MIN($G45,EOMONTH(P$5,0))-MAX($F45,P$5)+1)/DAY(EOMONTH(P$5,0)),0)</f>
        <v>1</v>
      </c>
      <c r="Q45" s="39" t="n">
        <f aca="false">IF($H45=1,MAX(0,MIN($G45,EOMONTH(Q$5,0))-MAX($F45,Q$5)+1)/DAY(EOMONTH(Q$5,0)),0)</f>
        <v>1</v>
      </c>
      <c r="R45" s="39" t="n">
        <f aca="false">IF($H45=1,MAX(0,MIN($G45,EOMONTH(R$5,0))-MAX($F45,R$5)+1)/DAY(EOMONTH(R$5,0)),0)</f>
        <v>1</v>
      </c>
      <c r="S45" s="39" t="n">
        <f aca="false">IF($H45=1,MAX(0,MIN($G45,EOMONTH(S$5,0))-MAX($F45,S$5)+1)/DAY(EOMONTH(S$5,0)),0)</f>
        <v>1</v>
      </c>
      <c r="T45" s="39" t="n">
        <f aca="false">IF($H45=1,MAX(0,MIN($G45,EOMONTH(T$5,0))-MAX($F45,T$5)+1)/DAY(EOMONTH(T$5,0)),0)</f>
        <v>1</v>
      </c>
      <c r="U45" s="39" t="n">
        <f aca="false">IF($H45=1,MAX(0,MIN($G45,EOMONTH(U$5,0))-MAX($F45,U$5)+1)/DAY(EOMONTH(U$5,0)),0)</f>
        <v>1</v>
      </c>
      <c r="V45" s="39" t="n">
        <f aca="false">IF($H45=1,MAX(0,MIN($G45,EOMONTH(V$5,0))-MAX($F45,V$5)+1)/DAY(EOMONTH(V$5,0)),0)</f>
        <v>1</v>
      </c>
      <c r="W45" s="40" t="n">
        <f aca="false">$E45/12*K45*IF(AND($J45=1,W$5&gt;=Assumptions!$B$18),1+Assumptions!$B$17,1)</f>
        <v>7208.33333333333</v>
      </c>
      <c r="X45" s="40" t="n">
        <f aca="false">$E45/12*L45*IF(AND($J45=1,X$5&gt;=Assumptions!$B$18),1+Assumptions!$B$17,1)</f>
        <v>7208.33333333333</v>
      </c>
      <c r="Y45" s="40" t="n">
        <f aca="false">$E45/12*M45*IF(AND($J45=1,Y$5&gt;=Assumptions!$B$18),1+Assumptions!$B$17,1)</f>
        <v>7208.33333333333</v>
      </c>
      <c r="Z45" s="40" t="n">
        <f aca="false">$E45/12*N45*IF(AND($J45=1,Z$5&gt;=Assumptions!$B$18),1+Assumptions!$B$17,1)</f>
        <v>7460.625</v>
      </c>
      <c r="AA45" s="40" t="n">
        <f aca="false">$E45/12*O45*IF(AND($J45=1,AA$5&gt;=Assumptions!$B$18),1+Assumptions!$B$17,1)</f>
        <v>7460.625</v>
      </c>
      <c r="AB45" s="40" t="n">
        <f aca="false">$E45/12*P45*IF(AND($J45=1,AB$5&gt;=Assumptions!$B$18),1+Assumptions!$B$17,1)</f>
        <v>7460.625</v>
      </c>
      <c r="AC45" s="40" t="n">
        <f aca="false">$E45/12*Q45*IF(AND($J45=1,AC$5&gt;=Assumptions!$B$18),1+Assumptions!$B$17,1)</f>
        <v>7460.625</v>
      </c>
      <c r="AD45" s="40" t="n">
        <f aca="false">$E45/12*R45*IF(AND($J45=1,AD$5&gt;=Assumptions!$B$18),1+Assumptions!$B$17,1)</f>
        <v>7460.625</v>
      </c>
      <c r="AE45" s="40" t="n">
        <f aca="false">$E45/12*S45*IF(AND($J45=1,AE$5&gt;=Assumptions!$B$18),1+Assumptions!$B$17,1)</f>
        <v>7460.625</v>
      </c>
      <c r="AF45" s="40" t="n">
        <f aca="false">$E45/12*T45*IF(AND($J45=1,AF$5&gt;=Assumptions!$B$18),1+Assumptions!$B$17,1)</f>
        <v>7460.625</v>
      </c>
      <c r="AG45" s="40" t="n">
        <f aca="false">$E45/12*U45*IF(AND($J45=1,AG$5&gt;=Assumptions!$B$18),1+Assumptions!$B$17,1)</f>
        <v>7460.625</v>
      </c>
      <c r="AH45" s="40" t="n">
        <f aca="false">$E45/12*V45*IF(AND($J45=1,AH$5&gt;=Assumptions!$B$18),1+Assumptions!$B$17,1)</f>
        <v>7460.625</v>
      </c>
    </row>
    <row r="46" customFormat="false" ht="15" hidden="false" customHeight="true" outlineLevel="0" collapsed="false">
      <c r="A46" s="13" t="str">
        <f aca="false">Roster!A46</f>
        <v>MKT-104</v>
      </c>
      <c r="B46" s="13" t="str">
        <f aca="false">Roster!B46</f>
        <v>Marketing</v>
      </c>
      <c r="C46" s="13" t="str">
        <f aca="false">Roster!E46</f>
        <v>Existing</v>
      </c>
      <c r="D46" s="34" t="n">
        <f aca="false">Roster!D46</f>
        <v>2</v>
      </c>
      <c r="E46" s="35" t="n">
        <f aca="false">Roster!F46</f>
        <v>91000</v>
      </c>
      <c r="F46" s="36" t="n">
        <f aca="false">IF(Roster!E46="Open role",MAX(Assumptions!$B$14,EDATE(Roster!G46,IF(Roster!I46=2,Assumptions!$F$10,0)-Assumptions!$F$9)),Roster!G46)</f>
        <v>45536</v>
      </c>
      <c r="G46" s="36" t="n">
        <f aca="false">IF(Roster!H46="",DATE(2099,12,31),Roster!H46)</f>
        <v>73050</v>
      </c>
      <c r="H46" s="37" t="n">
        <f aca="false">IF(Roster!E46="Existing",1,IF(Roster!I46&lt;=Assumptions!$F$8,1,0))</f>
        <v>1</v>
      </c>
      <c r="I46" s="38" t="n">
        <f aca="false">IF(B46="Sales",Assumptions!$B$23,VLOOKUP(D46,Assumptions!$A$27:$B$31,2,FALSE()))</f>
        <v>0.08</v>
      </c>
      <c r="J46" s="37" t="n">
        <f aca="false">IF(F46&lt;Assumptions!$B$14,1,0)</f>
        <v>1</v>
      </c>
      <c r="K46" s="39" t="n">
        <f aca="false">IF($H46=1,MAX(0,MIN($G46,EOMONTH(K$5,0))-MAX($F46,K$5)+1)/DAY(EOMONTH(K$5,0)),0)</f>
        <v>1</v>
      </c>
      <c r="L46" s="39" t="n">
        <f aca="false">IF($H46=1,MAX(0,MIN($G46,EOMONTH(L$5,0))-MAX($F46,L$5)+1)/DAY(EOMONTH(L$5,0)),0)</f>
        <v>1</v>
      </c>
      <c r="M46" s="39" t="n">
        <f aca="false">IF($H46=1,MAX(0,MIN($G46,EOMONTH(M$5,0))-MAX($F46,M$5)+1)/DAY(EOMONTH(M$5,0)),0)</f>
        <v>1</v>
      </c>
      <c r="N46" s="39" t="n">
        <f aca="false">IF($H46=1,MAX(0,MIN($G46,EOMONTH(N$5,0))-MAX($F46,N$5)+1)/DAY(EOMONTH(N$5,0)),0)</f>
        <v>1</v>
      </c>
      <c r="O46" s="39" t="n">
        <f aca="false">IF($H46=1,MAX(0,MIN($G46,EOMONTH(O$5,0))-MAX($F46,O$5)+1)/DAY(EOMONTH(O$5,0)),0)</f>
        <v>1</v>
      </c>
      <c r="P46" s="39" t="n">
        <f aca="false">IF($H46=1,MAX(0,MIN($G46,EOMONTH(P$5,0))-MAX($F46,P$5)+1)/DAY(EOMONTH(P$5,0)),0)</f>
        <v>1</v>
      </c>
      <c r="Q46" s="39" t="n">
        <f aca="false">IF($H46=1,MAX(0,MIN($G46,EOMONTH(Q$5,0))-MAX($F46,Q$5)+1)/DAY(EOMONTH(Q$5,0)),0)</f>
        <v>1</v>
      </c>
      <c r="R46" s="39" t="n">
        <f aca="false">IF($H46=1,MAX(0,MIN($G46,EOMONTH(R$5,0))-MAX($F46,R$5)+1)/DAY(EOMONTH(R$5,0)),0)</f>
        <v>1</v>
      </c>
      <c r="S46" s="39" t="n">
        <f aca="false">IF($H46=1,MAX(0,MIN($G46,EOMONTH(S$5,0))-MAX($F46,S$5)+1)/DAY(EOMONTH(S$5,0)),0)</f>
        <v>1</v>
      </c>
      <c r="T46" s="39" t="n">
        <f aca="false">IF($H46=1,MAX(0,MIN($G46,EOMONTH(T$5,0))-MAX($F46,T$5)+1)/DAY(EOMONTH(T$5,0)),0)</f>
        <v>1</v>
      </c>
      <c r="U46" s="39" t="n">
        <f aca="false">IF($H46=1,MAX(0,MIN($G46,EOMONTH(U$5,0))-MAX($F46,U$5)+1)/DAY(EOMONTH(U$5,0)),0)</f>
        <v>1</v>
      </c>
      <c r="V46" s="39" t="n">
        <f aca="false">IF($H46=1,MAX(0,MIN($G46,EOMONTH(V$5,0))-MAX($F46,V$5)+1)/DAY(EOMONTH(V$5,0)),0)</f>
        <v>1</v>
      </c>
      <c r="W46" s="40" t="n">
        <f aca="false">$E46/12*K46*IF(AND($J46=1,W$5&gt;=Assumptions!$B$18),1+Assumptions!$B$17,1)</f>
        <v>7583.33333333333</v>
      </c>
      <c r="X46" s="40" t="n">
        <f aca="false">$E46/12*L46*IF(AND($J46=1,X$5&gt;=Assumptions!$B$18),1+Assumptions!$B$17,1)</f>
        <v>7583.33333333333</v>
      </c>
      <c r="Y46" s="40" t="n">
        <f aca="false">$E46/12*M46*IF(AND($J46=1,Y$5&gt;=Assumptions!$B$18),1+Assumptions!$B$17,1)</f>
        <v>7583.33333333333</v>
      </c>
      <c r="Z46" s="40" t="n">
        <f aca="false">$E46/12*N46*IF(AND($J46=1,Z$5&gt;=Assumptions!$B$18),1+Assumptions!$B$17,1)</f>
        <v>7848.75</v>
      </c>
      <c r="AA46" s="40" t="n">
        <f aca="false">$E46/12*O46*IF(AND($J46=1,AA$5&gt;=Assumptions!$B$18),1+Assumptions!$B$17,1)</f>
        <v>7848.75</v>
      </c>
      <c r="AB46" s="40" t="n">
        <f aca="false">$E46/12*P46*IF(AND($J46=1,AB$5&gt;=Assumptions!$B$18),1+Assumptions!$B$17,1)</f>
        <v>7848.75</v>
      </c>
      <c r="AC46" s="40" t="n">
        <f aca="false">$E46/12*Q46*IF(AND($J46=1,AC$5&gt;=Assumptions!$B$18),1+Assumptions!$B$17,1)</f>
        <v>7848.75</v>
      </c>
      <c r="AD46" s="40" t="n">
        <f aca="false">$E46/12*R46*IF(AND($J46=1,AD$5&gt;=Assumptions!$B$18),1+Assumptions!$B$17,1)</f>
        <v>7848.75</v>
      </c>
      <c r="AE46" s="40" t="n">
        <f aca="false">$E46/12*S46*IF(AND($J46=1,AE$5&gt;=Assumptions!$B$18),1+Assumptions!$B$17,1)</f>
        <v>7848.75</v>
      </c>
      <c r="AF46" s="40" t="n">
        <f aca="false">$E46/12*T46*IF(AND($J46=1,AF$5&gt;=Assumptions!$B$18),1+Assumptions!$B$17,1)</f>
        <v>7848.75</v>
      </c>
      <c r="AG46" s="40" t="n">
        <f aca="false">$E46/12*U46*IF(AND($J46=1,AG$5&gt;=Assumptions!$B$18),1+Assumptions!$B$17,1)</f>
        <v>7848.75</v>
      </c>
      <c r="AH46" s="40" t="n">
        <f aca="false">$E46/12*V46*IF(AND($J46=1,AH$5&gt;=Assumptions!$B$18),1+Assumptions!$B$17,1)</f>
        <v>7848.75</v>
      </c>
    </row>
    <row r="47" customFormat="false" ht="15" hidden="false" customHeight="true" outlineLevel="0" collapsed="false">
      <c r="A47" s="13" t="str">
        <f aca="false">Roster!A47</f>
        <v>MKT-105</v>
      </c>
      <c r="B47" s="13" t="str">
        <f aca="false">Roster!B47</f>
        <v>Marketing</v>
      </c>
      <c r="C47" s="13" t="str">
        <f aca="false">Roster!E47</f>
        <v>Existing</v>
      </c>
      <c r="D47" s="34" t="n">
        <f aca="false">Roster!D47</f>
        <v>4</v>
      </c>
      <c r="E47" s="35" t="n">
        <f aca="false">Roster!F47</f>
        <v>155000</v>
      </c>
      <c r="F47" s="36" t="n">
        <f aca="false">IF(Roster!E47="Open role",MAX(Assumptions!$B$14,EDATE(Roster!G47,IF(Roster!I47=2,Assumptions!$F$10,0)-Assumptions!$F$9)),Roster!G47)</f>
        <v>43497</v>
      </c>
      <c r="G47" s="36" t="n">
        <f aca="false">IF(Roster!H47="",DATE(2099,12,31),Roster!H47)</f>
        <v>73050</v>
      </c>
      <c r="H47" s="37" t="n">
        <f aca="false">IF(Roster!E47="Existing",1,IF(Roster!I47&lt;=Assumptions!$F$8,1,0))</f>
        <v>1</v>
      </c>
      <c r="I47" s="38" t="n">
        <f aca="false">IF(B47="Sales",Assumptions!$B$23,VLOOKUP(D47,Assumptions!$A$27:$B$31,2,FALSE()))</f>
        <v>0.15</v>
      </c>
      <c r="J47" s="37" t="n">
        <f aca="false">IF(F47&lt;Assumptions!$B$14,1,0)</f>
        <v>1</v>
      </c>
      <c r="K47" s="39" t="n">
        <f aca="false">IF($H47=1,MAX(0,MIN($G47,EOMONTH(K$5,0))-MAX($F47,K$5)+1)/DAY(EOMONTH(K$5,0)),0)</f>
        <v>1</v>
      </c>
      <c r="L47" s="39" t="n">
        <f aca="false">IF($H47=1,MAX(0,MIN($G47,EOMONTH(L$5,0))-MAX($F47,L$5)+1)/DAY(EOMONTH(L$5,0)),0)</f>
        <v>1</v>
      </c>
      <c r="M47" s="39" t="n">
        <f aca="false">IF($H47=1,MAX(0,MIN($G47,EOMONTH(M$5,0))-MAX($F47,M$5)+1)/DAY(EOMONTH(M$5,0)),0)</f>
        <v>1</v>
      </c>
      <c r="N47" s="39" t="n">
        <f aca="false">IF($H47=1,MAX(0,MIN($G47,EOMONTH(N$5,0))-MAX($F47,N$5)+1)/DAY(EOMONTH(N$5,0)),0)</f>
        <v>1</v>
      </c>
      <c r="O47" s="39" t="n">
        <f aca="false">IF($H47=1,MAX(0,MIN($G47,EOMONTH(O$5,0))-MAX($F47,O$5)+1)/DAY(EOMONTH(O$5,0)),0)</f>
        <v>1</v>
      </c>
      <c r="P47" s="39" t="n">
        <f aca="false">IF($H47=1,MAX(0,MIN($G47,EOMONTH(P$5,0))-MAX($F47,P$5)+1)/DAY(EOMONTH(P$5,0)),0)</f>
        <v>1</v>
      </c>
      <c r="Q47" s="39" t="n">
        <f aca="false">IF($H47=1,MAX(0,MIN($G47,EOMONTH(Q$5,0))-MAX($F47,Q$5)+1)/DAY(EOMONTH(Q$5,0)),0)</f>
        <v>1</v>
      </c>
      <c r="R47" s="39" t="n">
        <f aca="false">IF($H47=1,MAX(0,MIN($G47,EOMONTH(R$5,0))-MAX($F47,R$5)+1)/DAY(EOMONTH(R$5,0)),0)</f>
        <v>1</v>
      </c>
      <c r="S47" s="39" t="n">
        <f aca="false">IF($H47=1,MAX(0,MIN($G47,EOMONTH(S$5,0))-MAX($F47,S$5)+1)/DAY(EOMONTH(S$5,0)),0)</f>
        <v>1</v>
      </c>
      <c r="T47" s="39" t="n">
        <f aca="false">IF($H47=1,MAX(0,MIN($G47,EOMONTH(T$5,0))-MAX($F47,T$5)+1)/DAY(EOMONTH(T$5,0)),0)</f>
        <v>1</v>
      </c>
      <c r="U47" s="39" t="n">
        <f aca="false">IF($H47=1,MAX(0,MIN($G47,EOMONTH(U$5,0))-MAX($F47,U$5)+1)/DAY(EOMONTH(U$5,0)),0)</f>
        <v>1</v>
      </c>
      <c r="V47" s="39" t="n">
        <f aca="false">IF($H47=1,MAX(0,MIN($G47,EOMONTH(V$5,0))-MAX($F47,V$5)+1)/DAY(EOMONTH(V$5,0)),0)</f>
        <v>1</v>
      </c>
      <c r="W47" s="40" t="n">
        <f aca="false">$E47/12*K47*IF(AND($J47=1,W$5&gt;=Assumptions!$B$18),1+Assumptions!$B$17,1)</f>
        <v>12916.6666666667</v>
      </c>
      <c r="X47" s="40" t="n">
        <f aca="false">$E47/12*L47*IF(AND($J47=1,X$5&gt;=Assumptions!$B$18),1+Assumptions!$B$17,1)</f>
        <v>12916.6666666667</v>
      </c>
      <c r="Y47" s="40" t="n">
        <f aca="false">$E47/12*M47*IF(AND($J47=1,Y$5&gt;=Assumptions!$B$18),1+Assumptions!$B$17,1)</f>
        <v>12916.6666666667</v>
      </c>
      <c r="Z47" s="40" t="n">
        <f aca="false">$E47/12*N47*IF(AND($J47=1,Z$5&gt;=Assumptions!$B$18),1+Assumptions!$B$17,1)</f>
        <v>13368.75</v>
      </c>
      <c r="AA47" s="40" t="n">
        <f aca="false">$E47/12*O47*IF(AND($J47=1,AA$5&gt;=Assumptions!$B$18),1+Assumptions!$B$17,1)</f>
        <v>13368.75</v>
      </c>
      <c r="AB47" s="40" t="n">
        <f aca="false">$E47/12*P47*IF(AND($J47=1,AB$5&gt;=Assumptions!$B$18),1+Assumptions!$B$17,1)</f>
        <v>13368.75</v>
      </c>
      <c r="AC47" s="40" t="n">
        <f aca="false">$E47/12*Q47*IF(AND($J47=1,AC$5&gt;=Assumptions!$B$18),1+Assumptions!$B$17,1)</f>
        <v>13368.75</v>
      </c>
      <c r="AD47" s="40" t="n">
        <f aca="false">$E47/12*R47*IF(AND($J47=1,AD$5&gt;=Assumptions!$B$18),1+Assumptions!$B$17,1)</f>
        <v>13368.75</v>
      </c>
      <c r="AE47" s="40" t="n">
        <f aca="false">$E47/12*S47*IF(AND($J47=1,AE$5&gt;=Assumptions!$B$18),1+Assumptions!$B$17,1)</f>
        <v>13368.75</v>
      </c>
      <c r="AF47" s="40" t="n">
        <f aca="false">$E47/12*T47*IF(AND($J47=1,AF$5&gt;=Assumptions!$B$18),1+Assumptions!$B$17,1)</f>
        <v>13368.75</v>
      </c>
      <c r="AG47" s="40" t="n">
        <f aca="false">$E47/12*U47*IF(AND($J47=1,AG$5&gt;=Assumptions!$B$18),1+Assumptions!$B$17,1)</f>
        <v>13368.75</v>
      </c>
      <c r="AH47" s="40" t="n">
        <f aca="false">$E47/12*V47*IF(AND($J47=1,AH$5&gt;=Assumptions!$B$18),1+Assumptions!$B$17,1)</f>
        <v>13368.75</v>
      </c>
    </row>
    <row r="48" customFormat="false" ht="15" hidden="false" customHeight="true" outlineLevel="0" collapsed="false">
      <c r="A48" s="13" t="str">
        <f aca="false">Roster!A48</f>
        <v>MKT-106</v>
      </c>
      <c r="B48" s="13" t="str">
        <f aca="false">Roster!B48</f>
        <v>Marketing</v>
      </c>
      <c r="C48" s="13" t="str">
        <f aca="false">Roster!E48</f>
        <v>Existing</v>
      </c>
      <c r="D48" s="34" t="n">
        <f aca="false">Roster!D48</f>
        <v>5</v>
      </c>
      <c r="E48" s="35" t="n">
        <f aca="false">Roster!F48</f>
        <v>215500</v>
      </c>
      <c r="F48" s="36" t="n">
        <f aca="false">IF(Roster!E48="Open role",MAX(Assumptions!$B$14,EDATE(Roster!G48,IF(Roster!I48=2,Assumptions!$F$10,0)-Assumptions!$F$9)),Roster!G48)</f>
        <v>44743</v>
      </c>
      <c r="G48" s="36" t="n">
        <f aca="false">IF(Roster!H48="",DATE(2099,12,31),Roster!H48)</f>
        <v>73050</v>
      </c>
      <c r="H48" s="37" t="n">
        <f aca="false">IF(Roster!E48="Existing",1,IF(Roster!I48&lt;=Assumptions!$F$8,1,0))</f>
        <v>1</v>
      </c>
      <c r="I48" s="38" t="n">
        <f aca="false">IF(B48="Sales",Assumptions!$B$23,VLOOKUP(D48,Assumptions!$A$27:$B$31,2,FALSE()))</f>
        <v>0.2</v>
      </c>
      <c r="J48" s="37" t="n">
        <f aca="false">IF(F48&lt;Assumptions!$B$14,1,0)</f>
        <v>1</v>
      </c>
      <c r="K48" s="39" t="n">
        <f aca="false">IF($H48=1,MAX(0,MIN($G48,EOMONTH(K$5,0))-MAX($F48,K$5)+1)/DAY(EOMONTH(K$5,0)),0)</f>
        <v>1</v>
      </c>
      <c r="L48" s="39" t="n">
        <f aca="false">IF($H48=1,MAX(0,MIN($G48,EOMONTH(L$5,0))-MAX($F48,L$5)+1)/DAY(EOMONTH(L$5,0)),0)</f>
        <v>1</v>
      </c>
      <c r="M48" s="39" t="n">
        <f aca="false">IF($H48=1,MAX(0,MIN($G48,EOMONTH(M$5,0))-MAX($F48,M$5)+1)/DAY(EOMONTH(M$5,0)),0)</f>
        <v>1</v>
      </c>
      <c r="N48" s="39" t="n">
        <f aca="false">IF($H48=1,MAX(0,MIN($G48,EOMONTH(N$5,0))-MAX($F48,N$5)+1)/DAY(EOMONTH(N$5,0)),0)</f>
        <v>1</v>
      </c>
      <c r="O48" s="39" t="n">
        <f aca="false">IF($H48=1,MAX(0,MIN($G48,EOMONTH(O$5,0))-MAX($F48,O$5)+1)/DAY(EOMONTH(O$5,0)),0)</f>
        <v>1</v>
      </c>
      <c r="P48" s="39" t="n">
        <f aca="false">IF($H48=1,MAX(0,MIN($G48,EOMONTH(P$5,0))-MAX($F48,P$5)+1)/DAY(EOMONTH(P$5,0)),0)</f>
        <v>1</v>
      </c>
      <c r="Q48" s="39" t="n">
        <f aca="false">IF($H48=1,MAX(0,MIN($G48,EOMONTH(Q$5,0))-MAX($F48,Q$5)+1)/DAY(EOMONTH(Q$5,0)),0)</f>
        <v>1</v>
      </c>
      <c r="R48" s="39" t="n">
        <f aca="false">IF($H48=1,MAX(0,MIN($G48,EOMONTH(R$5,0))-MAX($F48,R$5)+1)/DAY(EOMONTH(R$5,0)),0)</f>
        <v>1</v>
      </c>
      <c r="S48" s="39" t="n">
        <f aca="false">IF($H48=1,MAX(0,MIN($G48,EOMONTH(S$5,0))-MAX($F48,S$5)+1)/DAY(EOMONTH(S$5,0)),0)</f>
        <v>1</v>
      </c>
      <c r="T48" s="39" t="n">
        <f aca="false">IF($H48=1,MAX(0,MIN($G48,EOMONTH(T$5,0))-MAX($F48,T$5)+1)/DAY(EOMONTH(T$5,0)),0)</f>
        <v>1</v>
      </c>
      <c r="U48" s="39" t="n">
        <f aca="false">IF($H48=1,MAX(0,MIN($G48,EOMONTH(U$5,0))-MAX($F48,U$5)+1)/DAY(EOMONTH(U$5,0)),0)</f>
        <v>1</v>
      </c>
      <c r="V48" s="39" t="n">
        <f aca="false">IF($H48=1,MAX(0,MIN($G48,EOMONTH(V$5,0))-MAX($F48,V$5)+1)/DAY(EOMONTH(V$5,0)),0)</f>
        <v>1</v>
      </c>
      <c r="W48" s="40" t="n">
        <f aca="false">$E48/12*K48*IF(AND($J48=1,W$5&gt;=Assumptions!$B$18),1+Assumptions!$B$17,1)</f>
        <v>17958.3333333333</v>
      </c>
      <c r="X48" s="40" t="n">
        <f aca="false">$E48/12*L48*IF(AND($J48=1,X$5&gt;=Assumptions!$B$18),1+Assumptions!$B$17,1)</f>
        <v>17958.3333333333</v>
      </c>
      <c r="Y48" s="40" t="n">
        <f aca="false">$E48/12*M48*IF(AND($J48=1,Y$5&gt;=Assumptions!$B$18),1+Assumptions!$B$17,1)</f>
        <v>17958.3333333333</v>
      </c>
      <c r="Z48" s="40" t="n">
        <f aca="false">$E48/12*N48*IF(AND($J48=1,Z$5&gt;=Assumptions!$B$18),1+Assumptions!$B$17,1)</f>
        <v>18586.875</v>
      </c>
      <c r="AA48" s="40" t="n">
        <f aca="false">$E48/12*O48*IF(AND($J48=1,AA$5&gt;=Assumptions!$B$18),1+Assumptions!$B$17,1)</f>
        <v>18586.875</v>
      </c>
      <c r="AB48" s="40" t="n">
        <f aca="false">$E48/12*P48*IF(AND($J48=1,AB$5&gt;=Assumptions!$B$18),1+Assumptions!$B$17,1)</f>
        <v>18586.875</v>
      </c>
      <c r="AC48" s="40" t="n">
        <f aca="false">$E48/12*Q48*IF(AND($J48=1,AC$5&gt;=Assumptions!$B$18),1+Assumptions!$B$17,1)</f>
        <v>18586.875</v>
      </c>
      <c r="AD48" s="40" t="n">
        <f aca="false">$E48/12*R48*IF(AND($J48=1,AD$5&gt;=Assumptions!$B$18),1+Assumptions!$B$17,1)</f>
        <v>18586.875</v>
      </c>
      <c r="AE48" s="40" t="n">
        <f aca="false">$E48/12*S48*IF(AND($J48=1,AE$5&gt;=Assumptions!$B$18),1+Assumptions!$B$17,1)</f>
        <v>18586.875</v>
      </c>
      <c r="AF48" s="40" t="n">
        <f aca="false">$E48/12*T48*IF(AND($J48=1,AF$5&gt;=Assumptions!$B$18),1+Assumptions!$B$17,1)</f>
        <v>18586.875</v>
      </c>
      <c r="AG48" s="40" t="n">
        <f aca="false">$E48/12*U48*IF(AND($J48=1,AG$5&gt;=Assumptions!$B$18),1+Assumptions!$B$17,1)</f>
        <v>18586.875</v>
      </c>
      <c r="AH48" s="40" t="n">
        <f aca="false">$E48/12*V48*IF(AND($J48=1,AH$5&gt;=Assumptions!$B$18),1+Assumptions!$B$17,1)</f>
        <v>18586.875</v>
      </c>
    </row>
    <row r="49" customFormat="false" ht="15" hidden="false" customHeight="true" outlineLevel="0" collapsed="false">
      <c r="A49" s="13" t="str">
        <f aca="false">Roster!A49</f>
        <v>CSX-101</v>
      </c>
      <c r="B49" s="13" t="str">
        <f aca="false">Roster!B49</f>
        <v>Customer Success</v>
      </c>
      <c r="C49" s="13" t="str">
        <f aca="false">Roster!E49</f>
        <v>Existing</v>
      </c>
      <c r="D49" s="34" t="n">
        <f aca="false">Roster!D49</f>
        <v>1</v>
      </c>
      <c r="E49" s="35" t="n">
        <f aca="false">Roster!F49</f>
        <v>62000</v>
      </c>
      <c r="F49" s="36" t="n">
        <f aca="false">IF(Roster!E49="Open role",MAX(Assumptions!$B$14,EDATE(Roster!G49,IF(Roster!I49=2,Assumptions!$F$10,0)-Assumptions!$F$9)),Roster!G49)</f>
        <v>46174</v>
      </c>
      <c r="G49" s="36" t="n">
        <f aca="false">IF(Roster!H49="",DATE(2099,12,31),Roster!H49)</f>
        <v>73050</v>
      </c>
      <c r="H49" s="37" t="n">
        <f aca="false">IF(Roster!E49="Existing",1,IF(Roster!I49&lt;=Assumptions!$F$8,1,0))</f>
        <v>1</v>
      </c>
      <c r="I49" s="38" t="n">
        <f aca="false">IF(B49="Sales",Assumptions!$B$23,VLOOKUP(D49,Assumptions!$A$27:$B$31,2,FALSE()))</f>
        <v>0.05</v>
      </c>
      <c r="J49" s="37" t="n">
        <f aca="false">IF(F49&lt;Assumptions!$B$14,1,0)</f>
        <v>1</v>
      </c>
      <c r="K49" s="39" t="n">
        <f aca="false">IF($H49=1,MAX(0,MIN($G49,EOMONTH(K$5,0))-MAX($F49,K$5)+1)/DAY(EOMONTH(K$5,0)),0)</f>
        <v>1</v>
      </c>
      <c r="L49" s="39" t="n">
        <f aca="false">IF($H49=1,MAX(0,MIN($G49,EOMONTH(L$5,0))-MAX($F49,L$5)+1)/DAY(EOMONTH(L$5,0)),0)</f>
        <v>1</v>
      </c>
      <c r="M49" s="39" t="n">
        <f aca="false">IF($H49=1,MAX(0,MIN($G49,EOMONTH(M$5,0))-MAX($F49,M$5)+1)/DAY(EOMONTH(M$5,0)),0)</f>
        <v>1</v>
      </c>
      <c r="N49" s="39" t="n">
        <f aca="false">IF($H49=1,MAX(0,MIN($G49,EOMONTH(N$5,0))-MAX($F49,N$5)+1)/DAY(EOMONTH(N$5,0)),0)</f>
        <v>1</v>
      </c>
      <c r="O49" s="39" t="n">
        <f aca="false">IF($H49=1,MAX(0,MIN($G49,EOMONTH(O$5,0))-MAX($F49,O$5)+1)/DAY(EOMONTH(O$5,0)),0)</f>
        <v>1</v>
      </c>
      <c r="P49" s="39" t="n">
        <f aca="false">IF($H49=1,MAX(0,MIN($G49,EOMONTH(P$5,0))-MAX($F49,P$5)+1)/DAY(EOMONTH(P$5,0)),0)</f>
        <v>1</v>
      </c>
      <c r="Q49" s="39" t="n">
        <f aca="false">IF($H49=1,MAX(0,MIN($G49,EOMONTH(Q$5,0))-MAX($F49,Q$5)+1)/DAY(EOMONTH(Q$5,0)),0)</f>
        <v>1</v>
      </c>
      <c r="R49" s="39" t="n">
        <f aca="false">IF($H49=1,MAX(0,MIN($G49,EOMONTH(R$5,0))-MAX($F49,R$5)+1)/DAY(EOMONTH(R$5,0)),0)</f>
        <v>1</v>
      </c>
      <c r="S49" s="39" t="n">
        <f aca="false">IF($H49=1,MAX(0,MIN($G49,EOMONTH(S$5,0))-MAX($F49,S$5)+1)/DAY(EOMONTH(S$5,0)),0)</f>
        <v>1</v>
      </c>
      <c r="T49" s="39" t="n">
        <f aca="false">IF($H49=1,MAX(0,MIN($G49,EOMONTH(T$5,0))-MAX($F49,T$5)+1)/DAY(EOMONTH(T$5,0)),0)</f>
        <v>1</v>
      </c>
      <c r="U49" s="39" t="n">
        <f aca="false">IF($H49=1,MAX(0,MIN($G49,EOMONTH(U$5,0))-MAX($F49,U$5)+1)/DAY(EOMONTH(U$5,0)),0)</f>
        <v>1</v>
      </c>
      <c r="V49" s="39" t="n">
        <f aca="false">IF($H49=1,MAX(0,MIN($G49,EOMONTH(V$5,0))-MAX($F49,V$5)+1)/DAY(EOMONTH(V$5,0)),0)</f>
        <v>1</v>
      </c>
      <c r="W49" s="40" t="n">
        <f aca="false">$E49/12*K49*IF(AND($J49=1,W$5&gt;=Assumptions!$B$18),1+Assumptions!$B$17,1)</f>
        <v>5166.66666666667</v>
      </c>
      <c r="X49" s="40" t="n">
        <f aca="false">$E49/12*L49*IF(AND($J49=1,X$5&gt;=Assumptions!$B$18),1+Assumptions!$B$17,1)</f>
        <v>5166.66666666667</v>
      </c>
      <c r="Y49" s="40" t="n">
        <f aca="false">$E49/12*M49*IF(AND($J49=1,Y$5&gt;=Assumptions!$B$18),1+Assumptions!$B$17,1)</f>
        <v>5166.66666666667</v>
      </c>
      <c r="Z49" s="40" t="n">
        <f aca="false">$E49/12*N49*IF(AND($J49=1,Z$5&gt;=Assumptions!$B$18),1+Assumptions!$B$17,1)</f>
        <v>5347.5</v>
      </c>
      <c r="AA49" s="40" t="n">
        <f aca="false">$E49/12*O49*IF(AND($J49=1,AA$5&gt;=Assumptions!$B$18),1+Assumptions!$B$17,1)</f>
        <v>5347.5</v>
      </c>
      <c r="AB49" s="40" t="n">
        <f aca="false">$E49/12*P49*IF(AND($J49=1,AB$5&gt;=Assumptions!$B$18),1+Assumptions!$B$17,1)</f>
        <v>5347.5</v>
      </c>
      <c r="AC49" s="40" t="n">
        <f aca="false">$E49/12*Q49*IF(AND($J49=1,AC$5&gt;=Assumptions!$B$18),1+Assumptions!$B$17,1)</f>
        <v>5347.5</v>
      </c>
      <c r="AD49" s="40" t="n">
        <f aca="false">$E49/12*R49*IF(AND($J49=1,AD$5&gt;=Assumptions!$B$18),1+Assumptions!$B$17,1)</f>
        <v>5347.5</v>
      </c>
      <c r="AE49" s="40" t="n">
        <f aca="false">$E49/12*S49*IF(AND($J49=1,AE$5&gt;=Assumptions!$B$18),1+Assumptions!$B$17,1)</f>
        <v>5347.5</v>
      </c>
      <c r="AF49" s="40" t="n">
        <f aca="false">$E49/12*T49*IF(AND($J49=1,AF$5&gt;=Assumptions!$B$18),1+Assumptions!$B$17,1)</f>
        <v>5347.5</v>
      </c>
      <c r="AG49" s="40" t="n">
        <f aca="false">$E49/12*U49*IF(AND($J49=1,AG$5&gt;=Assumptions!$B$18),1+Assumptions!$B$17,1)</f>
        <v>5347.5</v>
      </c>
      <c r="AH49" s="40" t="n">
        <f aca="false">$E49/12*V49*IF(AND($J49=1,AH$5&gt;=Assumptions!$B$18),1+Assumptions!$B$17,1)</f>
        <v>5347.5</v>
      </c>
    </row>
    <row r="50" customFormat="false" ht="15" hidden="false" customHeight="true" outlineLevel="0" collapsed="false">
      <c r="A50" s="13" t="str">
        <f aca="false">Roster!A50</f>
        <v>CSX-102</v>
      </c>
      <c r="B50" s="13" t="str">
        <f aca="false">Roster!B50</f>
        <v>Customer Success</v>
      </c>
      <c r="C50" s="13" t="str">
        <f aca="false">Roster!E50</f>
        <v>Existing</v>
      </c>
      <c r="D50" s="34" t="n">
        <f aca="false">Roster!D50</f>
        <v>1</v>
      </c>
      <c r="E50" s="35" t="n">
        <f aca="false">Roster!F50</f>
        <v>60500</v>
      </c>
      <c r="F50" s="36" t="n">
        <f aca="false">IF(Roster!E50="Open role",MAX(Assumptions!$B$14,EDATE(Roster!G50,IF(Roster!I50=2,Assumptions!$F$10,0)-Assumptions!$F$9)),Roster!G50)</f>
        <v>44501</v>
      </c>
      <c r="G50" s="36" t="n">
        <f aca="false">IF(Roster!H50="",DATE(2099,12,31),Roster!H50)</f>
        <v>46630</v>
      </c>
      <c r="H50" s="37" t="n">
        <f aca="false">IF(Roster!E50="Existing",1,IF(Roster!I50&lt;=Assumptions!$F$8,1,0))</f>
        <v>1</v>
      </c>
      <c r="I50" s="38" t="n">
        <f aca="false">IF(B50="Sales",Assumptions!$B$23,VLOOKUP(D50,Assumptions!$A$27:$B$31,2,FALSE()))</f>
        <v>0.05</v>
      </c>
      <c r="J50" s="37" t="n">
        <f aca="false">IF(F50&lt;Assumptions!$B$14,1,0)</f>
        <v>1</v>
      </c>
      <c r="K50" s="39" t="n">
        <f aca="false">IF($H50=1,MAX(0,MIN($G50,EOMONTH(K$5,0))-MAX($F50,K$5)+1)/DAY(EOMONTH(K$5,0)),0)</f>
        <v>1</v>
      </c>
      <c r="L50" s="39" t="n">
        <f aca="false">IF($H50=1,MAX(0,MIN($G50,EOMONTH(L$5,0))-MAX($F50,L$5)+1)/DAY(EOMONTH(L$5,0)),0)</f>
        <v>1</v>
      </c>
      <c r="M50" s="39" t="n">
        <f aca="false">IF($H50=1,MAX(0,MIN($G50,EOMONTH(M$5,0))-MAX($F50,M$5)+1)/DAY(EOMONTH(M$5,0)),0)</f>
        <v>1</v>
      </c>
      <c r="N50" s="39" t="n">
        <f aca="false">IF($H50=1,MAX(0,MIN($G50,EOMONTH(N$5,0))-MAX($F50,N$5)+1)/DAY(EOMONTH(N$5,0)),0)</f>
        <v>1</v>
      </c>
      <c r="O50" s="39" t="n">
        <f aca="false">IF($H50=1,MAX(0,MIN($G50,EOMONTH(O$5,0))-MAX($F50,O$5)+1)/DAY(EOMONTH(O$5,0)),0)</f>
        <v>1</v>
      </c>
      <c r="P50" s="39" t="n">
        <f aca="false">IF($H50=1,MAX(0,MIN($G50,EOMONTH(P$5,0))-MAX($F50,P$5)+1)/DAY(EOMONTH(P$5,0)),0)</f>
        <v>1</v>
      </c>
      <c r="Q50" s="39" t="n">
        <f aca="false">IF($H50=1,MAX(0,MIN($G50,EOMONTH(Q$5,0))-MAX($F50,Q$5)+1)/DAY(EOMONTH(Q$5,0)),0)</f>
        <v>1</v>
      </c>
      <c r="R50" s="39" t="n">
        <f aca="false">IF($H50=1,MAX(0,MIN($G50,EOMONTH(R$5,0))-MAX($F50,R$5)+1)/DAY(EOMONTH(R$5,0)),0)</f>
        <v>1</v>
      </c>
      <c r="S50" s="39" t="n">
        <f aca="false">IF($H50=1,MAX(0,MIN($G50,EOMONTH(S$5,0))-MAX($F50,S$5)+1)/DAY(EOMONTH(S$5,0)),0)</f>
        <v>0</v>
      </c>
      <c r="T50" s="39" t="n">
        <f aca="false">IF($H50=1,MAX(0,MIN($G50,EOMONTH(T$5,0))-MAX($F50,T$5)+1)/DAY(EOMONTH(T$5,0)),0)</f>
        <v>0</v>
      </c>
      <c r="U50" s="39" t="n">
        <f aca="false">IF($H50=1,MAX(0,MIN($G50,EOMONTH(U$5,0))-MAX($F50,U$5)+1)/DAY(EOMONTH(U$5,0)),0)</f>
        <v>0</v>
      </c>
      <c r="V50" s="39" t="n">
        <f aca="false">IF($H50=1,MAX(0,MIN($G50,EOMONTH(V$5,0))-MAX($F50,V$5)+1)/DAY(EOMONTH(V$5,0)),0)</f>
        <v>0</v>
      </c>
      <c r="W50" s="40" t="n">
        <f aca="false">$E50/12*K50*IF(AND($J50=1,W$5&gt;=Assumptions!$B$18),1+Assumptions!$B$17,1)</f>
        <v>5041.66666666667</v>
      </c>
      <c r="X50" s="40" t="n">
        <f aca="false">$E50/12*L50*IF(AND($J50=1,X$5&gt;=Assumptions!$B$18),1+Assumptions!$B$17,1)</f>
        <v>5041.66666666667</v>
      </c>
      <c r="Y50" s="40" t="n">
        <f aca="false">$E50/12*M50*IF(AND($J50=1,Y$5&gt;=Assumptions!$B$18),1+Assumptions!$B$17,1)</f>
        <v>5041.66666666667</v>
      </c>
      <c r="Z50" s="40" t="n">
        <f aca="false">$E50/12*N50*IF(AND($J50=1,Z$5&gt;=Assumptions!$B$18),1+Assumptions!$B$17,1)</f>
        <v>5218.125</v>
      </c>
      <c r="AA50" s="40" t="n">
        <f aca="false">$E50/12*O50*IF(AND($J50=1,AA$5&gt;=Assumptions!$B$18),1+Assumptions!$B$17,1)</f>
        <v>5218.125</v>
      </c>
      <c r="AB50" s="40" t="n">
        <f aca="false">$E50/12*P50*IF(AND($J50=1,AB$5&gt;=Assumptions!$B$18),1+Assumptions!$B$17,1)</f>
        <v>5218.125</v>
      </c>
      <c r="AC50" s="40" t="n">
        <f aca="false">$E50/12*Q50*IF(AND($J50=1,AC$5&gt;=Assumptions!$B$18),1+Assumptions!$B$17,1)</f>
        <v>5218.125</v>
      </c>
      <c r="AD50" s="40" t="n">
        <f aca="false">$E50/12*R50*IF(AND($J50=1,AD$5&gt;=Assumptions!$B$18),1+Assumptions!$B$17,1)</f>
        <v>5218.125</v>
      </c>
      <c r="AE50" s="40" t="n">
        <f aca="false">$E50/12*S50*IF(AND($J50=1,AE$5&gt;=Assumptions!$B$18),1+Assumptions!$B$17,1)</f>
        <v>0</v>
      </c>
      <c r="AF50" s="40" t="n">
        <f aca="false">$E50/12*T50*IF(AND($J50=1,AF$5&gt;=Assumptions!$B$18),1+Assumptions!$B$17,1)</f>
        <v>0</v>
      </c>
      <c r="AG50" s="40" t="n">
        <f aca="false">$E50/12*U50*IF(AND($J50=1,AG$5&gt;=Assumptions!$B$18),1+Assumptions!$B$17,1)</f>
        <v>0</v>
      </c>
      <c r="AH50" s="40" t="n">
        <f aca="false">$E50/12*V50*IF(AND($J50=1,AH$5&gt;=Assumptions!$B$18),1+Assumptions!$B$17,1)</f>
        <v>0</v>
      </c>
    </row>
    <row r="51" customFormat="false" ht="15" hidden="false" customHeight="true" outlineLevel="0" collapsed="false">
      <c r="A51" s="13" t="str">
        <f aca="false">Roster!A51</f>
        <v>CSX-103</v>
      </c>
      <c r="B51" s="13" t="str">
        <f aca="false">Roster!B51</f>
        <v>Customer Success</v>
      </c>
      <c r="C51" s="13" t="str">
        <f aca="false">Roster!E51</f>
        <v>Existing</v>
      </c>
      <c r="D51" s="34" t="n">
        <f aca="false">Roster!D51</f>
        <v>1</v>
      </c>
      <c r="E51" s="35" t="n">
        <f aca="false">Roster!F51</f>
        <v>63000</v>
      </c>
      <c r="F51" s="36" t="n">
        <f aca="false">IF(Roster!E51="Open role",MAX(Assumptions!$B$14,EDATE(Roster!G51,IF(Roster!I51=2,Assumptions!$F$10,0)-Assumptions!$F$9)),Roster!G51)</f>
        <v>45383</v>
      </c>
      <c r="G51" s="36" t="n">
        <f aca="false">IF(Roster!H51="",DATE(2099,12,31),Roster!H51)</f>
        <v>73050</v>
      </c>
      <c r="H51" s="37" t="n">
        <f aca="false">IF(Roster!E51="Existing",1,IF(Roster!I51&lt;=Assumptions!$F$8,1,0))</f>
        <v>1</v>
      </c>
      <c r="I51" s="38" t="n">
        <f aca="false">IF(B51="Sales",Assumptions!$B$23,VLOOKUP(D51,Assumptions!$A$27:$B$31,2,FALSE()))</f>
        <v>0.05</v>
      </c>
      <c r="J51" s="37" t="n">
        <f aca="false">IF(F51&lt;Assumptions!$B$14,1,0)</f>
        <v>1</v>
      </c>
      <c r="K51" s="39" t="n">
        <f aca="false">IF($H51=1,MAX(0,MIN($G51,EOMONTH(K$5,0))-MAX($F51,K$5)+1)/DAY(EOMONTH(K$5,0)),0)</f>
        <v>1</v>
      </c>
      <c r="L51" s="39" t="n">
        <f aca="false">IF($H51=1,MAX(0,MIN($G51,EOMONTH(L$5,0))-MAX($F51,L$5)+1)/DAY(EOMONTH(L$5,0)),0)</f>
        <v>1</v>
      </c>
      <c r="M51" s="39" t="n">
        <f aca="false">IF($H51=1,MAX(0,MIN($G51,EOMONTH(M$5,0))-MAX($F51,M$5)+1)/DAY(EOMONTH(M$5,0)),0)</f>
        <v>1</v>
      </c>
      <c r="N51" s="39" t="n">
        <f aca="false">IF($H51=1,MAX(0,MIN($G51,EOMONTH(N$5,0))-MAX($F51,N$5)+1)/DAY(EOMONTH(N$5,0)),0)</f>
        <v>1</v>
      </c>
      <c r="O51" s="39" t="n">
        <f aca="false">IF($H51=1,MAX(0,MIN($G51,EOMONTH(O$5,0))-MAX($F51,O$5)+1)/DAY(EOMONTH(O$5,0)),0)</f>
        <v>1</v>
      </c>
      <c r="P51" s="39" t="n">
        <f aca="false">IF($H51=1,MAX(0,MIN($G51,EOMONTH(P$5,0))-MAX($F51,P$5)+1)/DAY(EOMONTH(P$5,0)),0)</f>
        <v>1</v>
      </c>
      <c r="Q51" s="39" t="n">
        <f aca="false">IF($H51=1,MAX(0,MIN($G51,EOMONTH(Q$5,0))-MAX($F51,Q$5)+1)/DAY(EOMONTH(Q$5,0)),0)</f>
        <v>1</v>
      </c>
      <c r="R51" s="39" t="n">
        <f aca="false">IF($H51=1,MAX(0,MIN($G51,EOMONTH(R$5,0))-MAX($F51,R$5)+1)/DAY(EOMONTH(R$5,0)),0)</f>
        <v>1</v>
      </c>
      <c r="S51" s="39" t="n">
        <f aca="false">IF($H51=1,MAX(0,MIN($G51,EOMONTH(S$5,0))-MAX($F51,S$5)+1)/DAY(EOMONTH(S$5,0)),0)</f>
        <v>1</v>
      </c>
      <c r="T51" s="39" t="n">
        <f aca="false">IF($H51=1,MAX(0,MIN($G51,EOMONTH(T$5,0))-MAX($F51,T$5)+1)/DAY(EOMONTH(T$5,0)),0)</f>
        <v>1</v>
      </c>
      <c r="U51" s="39" t="n">
        <f aca="false">IF($H51=1,MAX(0,MIN($G51,EOMONTH(U$5,0))-MAX($F51,U$5)+1)/DAY(EOMONTH(U$5,0)),0)</f>
        <v>1</v>
      </c>
      <c r="V51" s="39" t="n">
        <f aca="false">IF($H51=1,MAX(0,MIN($G51,EOMONTH(V$5,0))-MAX($F51,V$5)+1)/DAY(EOMONTH(V$5,0)),0)</f>
        <v>1</v>
      </c>
      <c r="W51" s="40" t="n">
        <f aca="false">$E51/12*K51*IF(AND($J51=1,W$5&gt;=Assumptions!$B$18),1+Assumptions!$B$17,1)</f>
        <v>5250</v>
      </c>
      <c r="X51" s="40" t="n">
        <f aca="false">$E51/12*L51*IF(AND($J51=1,X$5&gt;=Assumptions!$B$18),1+Assumptions!$B$17,1)</f>
        <v>5250</v>
      </c>
      <c r="Y51" s="40" t="n">
        <f aca="false">$E51/12*M51*IF(AND($J51=1,Y$5&gt;=Assumptions!$B$18),1+Assumptions!$B$17,1)</f>
        <v>5250</v>
      </c>
      <c r="Z51" s="40" t="n">
        <f aca="false">$E51/12*N51*IF(AND($J51=1,Z$5&gt;=Assumptions!$B$18),1+Assumptions!$B$17,1)</f>
        <v>5433.75</v>
      </c>
      <c r="AA51" s="40" t="n">
        <f aca="false">$E51/12*O51*IF(AND($J51=1,AA$5&gt;=Assumptions!$B$18),1+Assumptions!$B$17,1)</f>
        <v>5433.75</v>
      </c>
      <c r="AB51" s="40" t="n">
        <f aca="false">$E51/12*P51*IF(AND($J51=1,AB$5&gt;=Assumptions!$B$18),1+Assumptions!$B$17,1)</f>
        <v>5433.75</v>
      </c>
      <c r="AC51" s="40" t="n">
        <f aca="false">$E51/12*Q51*IF(AND($J51=1,AC$5&gt;=Assumptions!$B$18),1+Assumptions!$B$17,1)</f>
        <v>5433.75</v>
      </c>
      <c r="AD51" s="40" t="n">
        <f aca="false">$E51/12*R51*IF(AND($J51=1,AD$5&gt;=Assumptions!$B$18),1+Assumptions!$B$17,1)</f>
        <v>5433.75</v>
      </c>
      <c r="AE51" s="40" t="n">
        <f aca="false">$E51/12*S51*IF(AND($J51=1,AE$5&gt;=Assumptions!$B$18),1+Assumptions!$B$17,1)</f>
        <v>5433.75</v>
      </c>
      <c r="AF51" s="40" t="n">
        <f aca="false">$E51/12*T51*IF(AND($J51=1,AF$5&gt;=Assumptions!$B$18),1+Assumptions!$B$17,1)</f>
        <v>5433.75</v>
      </c>
      <c r="AG51" s="40" t="n">
        <f aca="false">$E51/12*U51*IF(AND($J51=1,AG$5&gt;=Assumptions!$B$18),1+Assumptions!$B$17,1)</f>
        <v>5433.75</v>
      </c>
      <c r="AH51" s="40" t="n">
        <f aca="false">$E51/12*V51*IF(AND($J51=1,AH$5&gt;=Assumptions!$B$18),1+Assumptions!$B$17,1)</f>
        <v>5433.75</v>
      </c>
    </row>
    <row r="52" customFormat="false" ht="15" hidden="false" customHeight="true" outlineLevel="0" collapsed="false">
      <c r="A52" s="13" t="str">
        <f aca="false">Roster!A52</f>
        <v>CSX-104</v>
      </c>
      <c r="B52" s="13" t="str">
        <f aca="false">Roster!B52</f>
        <v>Customer Success</v>
      </c>
      <c r="C52" s="13" t="str">
        <f aca="false">Roster!E52</f>
        <v>Existing</v>
      </c>
      <c r="D52" s="34" t="n">
        <f aca="false">Roster!D52</f>
        <v>1</v>
      </c>
      <c r="E52" s="35" t="n">
        <f aca="false">Roster!F52</f>
        <v>61000</v>
      </c>
      <c r="F52" s="36" t="n">
        <f aca="false">IF(Roster!E52="Open role",MAX(Assumptions!$B$14,EDATE(Roster!G52,IF(Roster!I52=2,Assumptions!$F$10,0)-Assumptions!$F$9)),Roster!G52)</f>
        <v>43709</v>
      </c>
      <c r="G52" s="36" t="n">
        <f aca="false">IF(Roster!H52="",DATE(2099,12,31),Roster!H52)</f>
        <v>73050</v>
      </c>
      <c r="H52" s="37" t="n">
        <f aca="false">IF(Roster!E52="Existing",1,IF(Roster!I52&lt;=Assumptions!$F$8,1,0))</f>
        <v>1</v>
      </c>
      <c r="I52" s="38" t="n">
        <f aca="false">IF(B52="Sales",Assumptions!$B$23,VLOOKUP(D52,Assumptions!$A$27:$B$31,2,FALSE()))</f>
        <v>0.05</v>
      </c>
      <c r="J52" s="37" t="n">
        <f aca="false">IF(F52&lt;Assumptions!$B$14,1,0)</f>
        <v>1</v>
      </c>
      <c r="K52" s="39" t="n">
        <f aca="false">IF($H52=1,MAX(0,MIN($G52,EOMONTH(K$5,0))-MAX($F52,K$5)+1)/DAY(EOMONTH(K$5,0)),0)</f>
        <v>1</v>
      </c>
      <c r="L52" s="39" t="n">
        <f aca="false">IF($H52=1,MAX(0,MIN($G52,EOMONTH(L$5,0))-MAX($F52,L$5)+1)/DAY(EOMONTH(L$5,0)),0)</f>
        <v>1</v>
      </c>
      <c r="M52" s="39" t="n">
        <f aca="false">IF($H52=1,MAX(0,MIN($G52,EOMONTH(M$5,0))-MAX($F52,M$5)+1)/DAY(EOMONTH(M$5,0)),0)</f>
        <v>1</v>
      </c>
      <c r="N52" s="39" t="n">
        <f aca="false">IF($H52=1,MAX(0,MIN($G52,EOMONTH(N$5,0))-MAX($F52,N$5)+1)/DAY(EOMONTH(N$5,0)),0)</f>
        <v>1</v>
      </c>
      <c r="O52" s="39" t="n">
        <f aca="false">IF($H52=1,MAX(0,MIN($G52,EOMONTH(O$5,0))-MAX($F52,O$5)+1)/DAY(EOMONTH(O$5,0)),0)</f>
        <v>1</v>
      </c>
      <c r="P52" s="39" t="n">
        <f aca="false">IF($H52=1,MAX(0,MIN($G52,EOMONTH(P$5,0))-MAX($F52,P$5)+1)/DAY(EOMONTH(P$5,0)),0)</f>
        <v>1</v>
      </c>
      <c r="Q52" s="39" t="n">
        <f aca="false">IF($H52=1,MAX(0,MIN($G52,EOMONTH(Q$5,0))-MAX($F52,Q$5)+1)/DAY(EOMONTH(Q$5,0)),0)</f>
        <v>1</v>
      </c>
      <c r="R52" s="39" t="n">
        <f aca="false">IF($H52=1,MAX(0,MIN($G52,EOMONTH(R$5,0))-MAX($F52,R$5)+1)/DAY(EOMONTH(R$5,0)),0)</f>
        <v>1</v>
      </c>
      <c r="S52" s="39" t="n">
        <f aca="false">IF($H52=1,MAX(0,MIN($G52,EOMONTH(S$5,0))-MAX($F52,S$5)+1)/DAY(EOMONTH(S$5,0)),0)</f>
        <v>1</v>
      </c>
      <c r="T52" s="39" t="n">
        <f aca="false">IF($H52=1,MAX(0,MIN($G52,EOMONTH(T$5,0))-MAX($F52,T$5)+1)/DAY(EOMONTH(T$5,0)),0)</f>
        <v>1</v>
      </c>
      <c r="U52" s="39" t="n">
        <f aca="false">IF($H52=1,MAX(0,MIN($G52,EOMONTH(U$5,0))-MAX($F52,U$5)+1)/DAY(EOMONTH(U$5,0)),0)</f>
        <v>1</v>
      </c>
      <c r="V52" s="39" t="n">
        <f aca="false">IF($H52=1,MAX(0,MIN($G52,EOMONTH(V$5,0))-MAX($F52,V$5)+1)/DAY(EOMONTH(V$5,0)),0)</f>
        <v>1</v>
      </c>
      <c r="W52" s="40" t="n">
        <f aca="false">$E52/12*K52*IF(AND($J52=1,W$5&gt;=Assumptions!$B$18),1+Assumptions!$B$17,1)</f>
        <v>5083.33333333333</v>
      </c>
      <c r="X52" s="40" t="n">
        <f aca="false">$E52/12*L52*IF(AND($J52=1,X$5&gt;=Assumptions!$B$18),1+Assumptions!$B$17,1)</f>
        <v>5083.33333333333</v>
      </c>
      <c r="Y52" s="40" t="n">
        <f aca="false">$E52/12*M52*IF(AND($J52=1,Y$5&gt;=Assumptions!$B$18),1+Assumptions!$B$17,1)</f>
        <v>5083.33333333333</v>
      </c>
      <c r="Z52" s="40" t="n">
        <f aca="false">$E52/12*N52*IF(AND($J52=1,Z$5&gt;=Assumptions!$B$18),1+Assumptions!$B$17,1)</f>
        <v>5261.25</v>
      </c>
      <c r="AA52" s="40" t="n">
        <f aca="false">$E52/12*O52*IF(AND($J52=1,AA$5&gt;=Assumptions!$B$18),1+Assumptions!$B$17,1)</f>
        <v>5261.25</v>
      </c>
      <c r="AB52" s="40" t="n">
        <f aca="false">$E52/12*P52*IF(AND($J52=1,AB$5&gt;=Assumptions!$B$18),1+Assumptions!$B$17,1)</f>
        <v>5261.25</v>
      </c>
      <c r="AC52" s="40" t="n">
        <f aca="false">$E52/12*Q52*IF(AND($J52=1,AC$5&gt;=Assumptions!$B$18),1+Assumptions!$B$17,1)</f>
        <v>5261.25</v>
      </c>
      <c r="AD52" s="40" t="n">
        <f aca="false">$E52/12*R52*IF(AND($J52=1,AD$5&gt;=Assumptions!$B$18),1+Assumptions!$B$17,1)</f>
        <v>5261.25</v>
      </c>
      <c r="AE52" s="40" t="n">
        <f aca="false">$E52/12*S52*IF(AND($J52=1,AE$5&gt;=Assumptions!$B$18),1+Assumptions!$B$17,1)</f>
        <v>5261.25</v>
      </c>
      <c r="AF52" s="40" t="n">
        <f aca="false">$E52/12*T52*IF(AND($J52=1,AF$5&gt;=Assumptions!$B$18),1+Assumptions!$B$17,1)</f>
        <v>5261.25</v>
      </c>
      <c r="AG52" s="40" t="n">
        <f aca="false">$E52/12*U52*IF(AND($J52=1,AG$5&gt;=Assumptions!$B$18),1+Assumptions!$B$17,1)</f>
        <v>5261.25</v>
      </c>
      <c r="AH52" s="40" t="n">
        <f aca="false">$E52/12*V52*IF(AND($J52=1,AH$5&gt;=Assumptions!$B$18),1+Assumptions!$B$17,1)</f>
        <v>5261.25</v>
      </c>
    </row>
    <row r="53" customFormat="false" ht="15" hidden="false" customHeight="true" outlineLevel="0" collapsed="false">
      <c r="A53" s="13" t="str">
        <f aca="false">Roster!A53</f>
        <v>CSX-105</v>
      </c>
      <c r="B53" s="13" t="str">
        <f aca="false">Roster!B53</f>
        <v>Customer Success</v>
      </c>
      <c r="C53" s="13" t="str">
        <f aca="false">Roster!E53</f>
        <v>Existing</v>
      </c>
      <c r="D53" s="34" t="n">
        <f aca="false">Roster!D53</f>
        <v>2</v>
      </c>
      <c r="E53" s="35" t="n">
        <f aca="false">Roster!F53</f>
        <v>82500</v>
      </c>
      <c r="F53" s="36" t="n">
        <f aca="false">IF(Roster!E53="Open role",MAX(Assumptions!$B$14,EDATE(Roster!G53,IF(Roster!I53=2,Assumptions!$F$10,0)-Assumptions!$F$9)),Roster!G53)</f>
        <v>44593</v>
      </c>
      <c r="G53" s="36" t="n">
        <f aca="false">IF(Roster!H53="",DATE(2099,12,31),Roster!H53)</f>
        <v>73050</v>
      </c>
      <c r="H53" s="37" t="n">
        <f aca="false">IF(Roster!E53="Existing",1,IF(Roster!I53&lt;=Assumptions!$F$8,1,0))</f>
        <v>1</v>
      </c>
      <c r="I53" s="38" t="n">
        <f aca="false">IF(B53="Sales",Assumptions!$B$23,VLOOKUP(D53,Assumptions!$A$27:$B$31,2,FALSE()))</f>
        <v>0.08</v>
      </c>
      <c r="J53" s="37" t="n">
        <f aca="false">IF(F53&lt;Assumptions!$B$14,1,0)</f>
        <v>1</v>
      </c>
      <c r="K53" s="39" t="n">
        <f aca="false">IF($H53=1,MAX(0,MIN($G53,EOMONTH(K$5,0))-MAX($F53,K$5)+1)/DAY(EOMONTH(K$5,0)),0)</f>
        <v>1</v>
      </c>
      <c r="L53" s="39" t="n">
        <f aca="false">IF($H53=1,MAX(0,MIN($G53,EOMONTH(L$5,0))-MAX($F53,L$5)+1)/DAY(EOMONTH(L$5,0)),0)</f>
        <v>1</v>
      </c>
      <c r="M53" s="39" t="n">
        <f aca="false">IF($H53=1,MAX(0,MIN($G53,EOMONTH(M$5,0))-MAX($F53,M$5)+1)/DAY(EOMONTH(M$5,0)),0)</f>
        <v>1</v>
      </c>
      <c r="N53" s="39" t="n">
        <f aca="false">IF($H53=1,MAX(0,MIN($G53,EOMONTH(N$5,0))-MAX($F53,N$5)+1)/DAY(EOMONTH(N$5,0)),0)</f>
        <v>1</v>
      </c>
      <c r="O53" s="39" t="n">
        <f aca="false">IF($H53=1,MAX(0,MIN($G53,EOMONTH(O$5,0))-MAX($F53,O$5)+1)/DAY(EOMONTH(O$5,0)),0)</f>
        <v>1</v>
      </c>
      <c r="P53" s="39" t="n">
        <f aca="false">IF($H53=1,MAX(0,MIN($G53,EOMONTH(P$5,0))-MAX($F53,P$5)+1)/DAY(EOMONTH(P$5,0)),0)</f>
        <v>1</v>
      </c>
      <c r="Q53" s="39" t="n">
        <f aca="false">IF($H53=1,MAX(0,MIN($G53,EOMONTH(Q$5,0))-MAX($F53,Q$5)+1)/DAY(EOMONTH(Q$5,0)),0)</f>
        <v>1</v>
      </c>
      <c r="R53" s="39" t="n">
        <f aca="false">IF($H53=1,MAX(0,MIN($G53,EOMONTH(R$5,0))-MAX($F53,R$5)+1)/DAY(EOMONTH(R$5,0)),0)</f>
        <v>1</v>
      </c>
      <c r="S53" s="39" t="n">
        <f aca="false">IF($H53=1,MAX(0,MIN($G53,EOMONTH(S$5,0))-MAX($F53,S$5)+1)/DAY(EOMONTH(S$5,0)),0)</f>
        <v>1</v>
      </c>
      <c r="T53" s="39" t="n">
        <f aca="false">IF($H53=1,MAX(0,MIN($G53,EOMONTH(T$5,0))-MAX($F53,T$5)+1)/DAY(EOMONTH(T$5,0)),0)</f>
        <v>1</v>
      </c>
      <c r="U53" s="39" t="n">
        <f aca="false">IF($H53=1,MAX(0,MIN($G53,EOMONTH(U$5,0))-MAX($F53,U$5)+1)/DAY(EOMONTH(U$5,0)),0)</f>
        <v>1</v>
      </c>
      <c r="V53" s="39" t="n">
        <f aca="false">IF($H53=1,MAX(0,MIN($G53,EOMONTH(V$5,0))-MAX($F53,V$5)+1)/DAY(EOMONTH(V$5,0)),0)</f>
        <v>1</v>
      </c>
      <c r="W53" s="40" t="n">
        <f aca="false">$E53/12*K53*IF(AND($J53=1,W$5&gt;=Assumptions!$B$18),1+Assumptions!$B$17,1)</f>
        <v>6875</v>
      </c>
      <c r="X53" s="40" t="n">
        <f aca="false">$E53/12*L53*IF(AND($J53=1,X$5&gt;=Assumptions!$B$18),1+Assumptions!$B$17,1)</f>
        <v>6875</v>
      </c>
      <c r="Y53" s="40" t="n">
        <f aca="false">$E53/12*M53*IF(AND($J53=1,Y$5&gt;=Assumptions!$B$18),1+Assumptions!$B$17,1)</f>
        <v>6875</v>
      </c>
      <c r="Z53" s="40" t="n">
        <f aca="false">$E53/12*N53*IF(AND($J53=1,Z$5&gt;=Assumptions!$B$18),1+Assumptions!$B$17,1)</f>
        <v>7115.625</v>
      </c>
      <c r="AA53" s="40" t="n">
        <f aca="false">$E53/12*O53*IF(AND($J53=1,AA$5&gt;=Assumptions!$B$18),1+Assumptions!$B$17,1)</f>
        <v>7115.625</v>
      </c>
      <c r="AB53" s="40" t="n">
        <f aca="false">$E53/12*P53*IF(AND($J53=1,AB$5&gt;=Assumptions!$B$18),1+Assumptions!$B$17,1)</f>
        <v>7115.625</v>
      </c>
      <c r="AC53" s="40" t="n">
        <f aca="false">$E53/12*Q53*IF(AND($J53=1,AC$5&gt;=Assumptions!$B$18),1+Assumptions!$B$17,1)</f>
        <v>7115.625</v>
      </c>
      <c r="AD53" s="40" t="n">
        <f aca="false">$E53/12*R53*IF(AND($J53=1,AD$5&gt;=Assumptions!$B$18),1+Assumptions!$B$17,1)</f>
        <v>7115.625</v>
      </c>
      <c r="AE53" s="40" t="n">
        <f aca="false">$E53/12*S53*IF(AND($J53=1,AE$5&gt;=Assumptions!$B$18),1+Assumptions!$B$17,1)</f>
        <v>7115.625</v>
      </c>
      <c r="AF53" s="40" t="n">
        <f aca="false">$E53/12*T53*IF(AND($J53=1,AF$5&gt;=Assumptions!$B$18),1+Assumptions!$B$17,1)</f>
        <v>7115.625</v>
      </c>
      <c r="AG53" s="40" t="n">
        <f aca="false">$E53/12*U53*IF(AND($J53=1,AG$5&gt;=Assumptions!$B$18),1+Assumptions!$B$17,1)</f>
        <v>7115.625</v>
      </c>
      <c r="AH53" s="40" t="n">
        <f aca="false">$E53/12*V53*IF(AND($J53=1,AH$5&gt;=Assumptions!$B$18),1+Assumptions!$B$17,1)</f>
        <v>7115.625</v>
      </c>
    </row>
    <row r="54" customFormat="false" ht="15" hidden="false" customHeight="true" outlineLevel="0" collapsed="false">
      <c r="A54" s="13" t="str">
        <f aca="false">Roster!A54</f>
        <v>CSX-106</v>
      </c>
      <c r="B54" s="13" t="str">
        <f aca="false">Roster!B54</f>
        <v>Customer Success</v>
      </c>
      <c r="C54" s="13" t="str">
        <f aca="false">Roster!E54</f>
        <v>Existing</v>
      </c>
      <c r="D54" s="34" t="n">
        <f aca="false">Roster!D54</f>
        <v>2</v>
      </c>
      <c r="E54" s="35" t="n">
        <f aca="false">Roster!F54</f>
        <v>79000</v>
      </c>
      <c r="F54" s="36" t="n">
        <f aca="false">IF(Roster!E54="Open role",MAX(Assumptions!$B$14,EDATE(Roster!G54,IF(Roster!I54=2,Assumptions!$F$10,0)-Assumptions!$F$9)),Roster!G54)</f>
        <v>45839</v>
      </c>
      <c r="G54" s="36" t="n">
        <f aca="false">IF(Roster!H54="",DATE(2099,12,31),Roster!H54)</f>
        <v>73050</v>
      </c>
      <c r="H54" s="37" t="n">
        <f aca="false">IF(Roster!E54="Existing",1,IF(Roster!I54&lt;=Assumptions!$F$8,1,0))</f>
        <v>1</v>
      </c>
      <c r="I54" s="38" t="n">
        <f aca="false">IF(B54="Sales",Assumptions!$B$23,VLOOKUP(D54,Assumptions!$A$27:$B$31,2,FALSE()))</f>
        <v>0.08</v>
      </c>
      <c r="J54" s="37" t="n">
        <f aca="false">IF(F54&lt;Assumptions!$B$14,1,0)</f>
        <v>1</v>
      </c>
      <c r="K54" s="39" t="n">
        <f aca="false">IF($H54=1,MAX(0,MIN($G54,EOMONTH(K$5,0))-MAX($F54,K$5)+1)/DAY(EOMONTH(K$5,0)),0)</f>
        <v>1</v>
      </c>
      <c r="L54" s="39" t="n">
        <f aca="false">IF($H54=1,MAX(0,MIN($G54,EOMONTH(L$5,0))-MAX($F54,L$5)+1)/DAY(EOMONTH(L$5,0)),0)</f>
        <v>1</v>
      </c>
      <c r="M54" s="39" t="n">
        <f aca="false">IF($H54=1,MAX(0,MIN($G54,EOMONTH(M$5,0))-MAX($F54,M$5)+1)/DAY(EOMONTH(M$5,0)),0)</f>
        <v>1</v>
      </c>
      <c r="N54" s="39" t="n">
        <f aca="false">IF($H54=1,MAX(0,MIN($G54,EOMONTH(N$5,0))-MAX($F54,N$5)+1)/DAY(EOMONTH(N$5,0)),0)</f>
        <v>1</v>
      </c>
      <c r="O54" s="39" t="n">
        <f aca="false">IF($H54=1,MAX(0,MIN($G54,EOMONTH(O$5,0))-MAX($F54,O$5)+1)/DAY(EOMONTH(O$5,0)),0)</f>
        <v>1</v>
      </c>
      <c r="P54" s="39" t="n">
        <f aca="false">IF($H54=1,MAX(0,MIN($G54,EOMONTH(P$5,0))-MAX($F54,P$5)+1)/DAY(EOMONTH(P$5,0)),0)</f>
        <v>1</v>
      </c>
      <c r="Q54" s="39" t="n">
        <f aca="false">IF($H54=1,MAX(0,MIN($G54,EOMONTH(Q$5,0))-MAX($F54,Q$5)+1)/DAY(EOMONTH(Q$5,0)),0)</f>
        <v>1</v>
      </c>
      <c r="R54" s="39" t="n">
        <f aca="false">IF($H54=1,MAX(0,MIN($G54,EOMONTH(R$5,0))-MAX($F54,R$5)+1)/DAY(EOMONTH(R$5,0)),0)</f>
        <v>1</v>
      </c>
      <c r="S54" s="39" t="n">
        <f aca="false">IF($H54=1,MAX(0,MIN($G54,EOMONTH(S$5,0))-MAX($F54,S$5)+1)/DAY(EOMONTH(S$5,0)),0)</f>
        <v>1</v>
      </c>
      <c r="T54" s="39" t="n">
        <f aca="false">IF($H54=1,MAX(0,MIN($G54,EOMONTH(T$5,0))-MAX($F54,T$5)+1)/DAY(EOMONTH(T$5,0)),0)</f>
        <v>1</v>
      </c>
      <c r="U54" s="39" t="n">
        <f aca="false">IF($H54=1,MAX(0,MIN($G54,EOMONTH(U$5,0))-MAX($F54,U$5)+1)/DAY(EOMONTH(U$5,0)),0)</f>
        <v>1</v>
      </c>
      <c r="V54" s="39" t="n">
        <f aca="false">IF($H54=1,MAX(0,MIN($G54,EOMONTH(V$5,0))-MAX($F54,V$5)+1)/DAY(EOMONTH(V$5,0)),0)</f>
        <v>1</v>
      </c>
      <c r="W54" s="40" t="n">
        <f aca="false">$E54/12*K54*IF(AND($J54=1,W$5&gt;=Assumptions!$B$18),1+Assumptions!$B$17,1)</f>
        <v>6583.33333333333</v>
      </c>
      <c r="X54" s="40" t="n">
        <f aca="false">$E54/12*L54*IF(AND($J54=1,X$5&gt;=Assumptions!$B$18),1+Assumptions!$B$17,1)</f>
        <v>6583.33333333333</v>
      </c>
      <c r="Y54" s="40" t="n">
        <f aca="false">$E54/12*M54*IF(AND($J54=1,Y$5&gt;=Assumptions!$B$18),1+Assumptions!$B$17,1)</f>
        <v>6583.33333333333</v>
      </c>
      <c r="Z54" s="40" t="n">
        <f aca="false">$E54/12*N54*IF(AND($J54=1,Z$5&gt;=Assumptions!$B$18),1+Assumptions!$B$17,1)</f>
        <v>6813.75</v>
      </c>
      <c r="AA54" s="40" t="n">
        <f aca="false">$E54/12*O54*IF(AND($J54=1,AA$5&gt;=Assumptions!$B$18),1+Assumptions!$B$17,1)</f>
        <v>6813.75</v>
      </c>
      <c r="AB54" s="40" t="n">
        <f aca="false">$E54/12*P54*IF(AND($J54=1,AB$5&gt;=Assumptions!$B$18),1+Assumptions!$B$17,1)</f>
        <v>6813.75</v>
      </c>
      <c r="AC54" s="40" t="n">
        <f aca="false">$E54/12*Q54*IF(AND($J54=1,AC$5&gt;=Assumptions!$B$18),1+Assumptions!$B$17,1)</f>
        <v>6813.75</v>
      </c>
      <c r="AD54" s="40" t="n">
        <f aca="false">$E54/12*R54*IF(AND($J54=1,AD$5&gt;=Assumptions!$B$18),1+Assumptions!$B$17,1)</f>
        <v>6813.75</v>
      </c>
      <c r="AE54" s="40" t="n">
        <f aca="false">$E54/12*S54*IF(AND($J54=1,AE$5&gt;=Assumptions!$B$18),1+Assumptions!$B$17,1)</f>
        <v>6813.75</v>
      </c>
      <c r="AF54" s="40" t="n">
        <f aca="false">$E54/12*T54*IF(AND($J54=1,AF$5&gt;=Assumptions!$B$18),1+Assumptions!$B$17,1)</f>
        <v>6813.75</v>
      </c>
      <c r="AG54" s="40" t="n">
        <f aca="false">$E54/12*U54*IF(AND($J54=1,AG$5&gt;=Assumptions!$B$18),1+Assumptions!$B$17,1)</f>
        <v>6813.75</v>
      </c>
      <c r="AH54" s="40" t="n">
        <f aca="false">$E54/12*V54*IF(AND($J54=1,AH$5&gt;=Assumptions!$B$18),1+Assumptions!$B$17,1)</f>
        <v>6813.75</v>
      </c>
    </row>
    <row r="55" customFormat="false" ht="15" hidden="false" customHeight="true" outlineLevel="0" collapsed="false">
      <c r="A55" s="13" t="str">
        <f aca="false">Roster!A55</f>
        <v>CSX-107</v>
      </c>
      <c r="B55" s="13" t="str">
        <f aca="false">Roster!B55</f>
        <v>Customer Success</v>
      </c>
      <c r="C55" s="13" t="str">
        <f aca="false">Roster!E55</f>
        <v>Existing</v>
      </c>
      <c r="D55" s="34" t="n">
        <f aca="false">Roster!D55</f>
        <v>2</v>
      </c>
      <c r="E55" s="35" t="n">
        <f aca="false">Roster!F55</f>
        <v>84000</v>
      </c>
      <c r="F55" s="36" t="n">
        <f aca="false">IF(Roster!E55="Open role",MAX(Assumptions!$B$14,EDATE(Roster!G55,IF(Roster!I55=2,Assumptions!$F$10,0)-Assumptions!$F$9)),Roster!G55)</f>
        <v>44166</v>
      </c>
      <c r="G55" s="36" t="n">
        <f aca="false">IF(Roster!H55="",DATE(2099,12,31),Roster!H55)</f>
        <v>73050</v>
      </c>
      <c r="H55" s="37" t="n">
        <f aca="false">IF(Roster!E55="Existing",1,IF(Roster!I55&lt;=Assumptions!$F$8,1,0))</f>
        <v>1</v>
      </c>
      <c r="I55" s="38" t="n">
        <f aca="false">IF(B55="Sales",Assumptions!$B$23,VLOOKUP(D55,Assumptions!$A$27:$B$31,2,FALSE()))</f>
        <v>0.08</v>
      </c>
      <c r="J55" s="37" t="n">
        <f aca="false">IF(F55&lt;Assumptions!$B$14,1,0)</f>
        <v>1</v>
      </c>
      <c r="K55" s="39" t="n">
        <f aca="false">IF($H55=1,MAX(0,MIN($G55,EOMONTH(K$5,0))-MAX($F55,K$5)+1)/DAY(EOMONTH(K$5,0)),0)</f>
        <v>1</v>
      </c>
      <c r="L55" s="39" t="n">
        <f aca="false">IF($H55=1,MAX(0,MIN($G55,EOMONTH(L$5,0))-MAX($F55,L$5)+1)/DAY(EOMONTH(L$5,0)),0)</f>
        <v>1</v>
      </c>
      <c r="M55" s="39" t="n">
        <f aca="false">IF($H55=1,MAX(0,MIN($G55,EOMONTH(M$5,0))-MAX($F55,M$5)+1)/DAY(EOMONTH(M$5,0)),0)</f>
        <v>1</v>
      </c>
      <c r="N55" s="39" t="n">
        <f aca="false">IF($H55=1,MAX(0,MIN($G55,EOMONTH(N$5,0))-MAX($F55,N$5)+1)/DAY(EOMONTH(N$5,0)),0)</f>
        <v>1</v>
      </c>
      <c r="O55" s="39" t="n">
        <f aca="false">IF($H55=1,MAX(0,MIN($G55,EOMONTH(O$5,0))-MAX($F55,O$5)+1)/DAY(EOMONTH(O$5,0)),0)</f>
        <v>1</v>
      </c>
      <c r="P55" s="39" t="n">
        <f aca="false">IF($H55=1,MAX(0,MIN($G55,EOMONTH(P$5,0))-MAX($F55,P$5)+1)/DAY(EOMONTH(P$5,0)),0)</f>
        <v>1</v>
      </c>
      <c r="Q55" s="39" t="n">
        <f aca="false">IF($H55=1,MAX(0,MIN($G55,EOMONTH(Q$5,0))-MAX($F55,Q$5)+1)/DAY(EOMONTH(Q$5,0)),0)</f>
        <v>1</v>
      </c>
      <c r="R55" s="39" t="n">
        <f aca="false">IF($H55=1,MAX(0,MIN($G55,EOMONTH(R$5,0))-MAX($F55,R$5)+1)/DAY(EOMONTH(R$5,0)),0)</f>
        <v>1</v>
      </c>
      <c r="S55" s="39" t="n">
        <f aca="false">IF($H55=1,MAX(0,MIN($G55,EOMONTH(S$5,0))-MAX($F55,S$5)+1)/DAY(EOMONTH(S$5,0)),0)</f>
        <v>1</v>
      </c>
      <c r="T55" s="39" t="n">
        <f aca="false">IF($H55=1,MAX(0,MIN($G55,EOMONTH(T$5,0))-MAX($F55,T$5)+1)/DAY(EOMONTH(T$5,0)),0)</f>
        <v>1</v>
      </c>
      <c r="U55" s="39" t="n">
        <f aca="false">IF($H55=1,MAX(0,MIN($G55,EOMONTH(U$5,0))-MAX($F55,U$5)+1)/DAY(EOMONTH(U$5,0)),0)</f>
        <v>1</v>
      </c>
      <c r="V55" s="39" t="n">
        <f aca="false">IF($H55=1,MAX(0,MIN($G55,EOMONTH(V$5,0))-MAX($F55,V$5)+1)/DAY(EOMONTH(V$5,0)),0)</f>
        <v>1</v>
      </c>
      <c r="W55" s="40" t="n">
        <f aca="false">$E55/12*K55*IF(AND($J55=1,W$5&gt;=Assumptions!$B$18),1+Assumptions!$B$17,1)</f>
        <v>7000</v>
      </c>
      <c r="X55" s="40" t="n">
        <f aca="false">$E55/12*L55*IF(AND($J55=1,X$5&gt;=Assumptions!$B$18),1+Assumptions!$B$17,1)</f>
        <v>7000</v>
      </c>
      <c r="Y55" s="40" t="n">
        <f aca="false">$E55/12*M55*IF(AND($J55=1,Y$5&gt;=Assumptions!$B$18),1+Assumptions!$B$17,1)</f>
        <v>7000</v>
      </c>
      <c r="Z55" s="40" t="n">
        <f aca="false">$E55/12*N55*IF(AND($J55=1,Z$5&gt;=Assumptions!$B$18),1+Assumptions!$B$17,1)</f>
        <v>7245</v>
      </c>
      <c r="AA55" s="40" t="n">
        <f aca="false">$E55/12*O55*IF(AND($J55=1,AA$5&gt;=Assumptions!$B$18),1+Assumptions!$B$17,1)</f>
        <v>7245</v>
      </c>
      <c r="AB55" s="40" t="n">
        <f aca="false">$E55/12*P55*IF(AND($J55=1,AB$5&gt;=Assumptions!$B$18),1+Assumptions!$B$17,1)</f>
        <v>7245</v>
      </c>
      <c r="AC55" s="40" t="n">
        <f aca="false">$E55/12*Q55*IF(AND($J55=1,AC$5&gt;=Assumptions!$B$18),1+Assumptions!$B$17,1)</f>
        <v>7245</v>
      </c>
      <c r="AD55" s="40" t="n">
        <f aca="false">$E55/12*R55*IF(AND($J55=1,AD$5&gt;=Assumptions!$B$18),1+Assumptions!$B$17,1)</f>
        <v>7245</v>
      </c>
      <c r="AE55" s="40" t="n">
        <f aca="false">$E55/12*S55*IF(AND($J55=1,AE$5&gt;=Assumptions!$B$18),1+Assumptions!$B$17,1)</f>
        <v>7245</v>
      </c>
      <c r="AF55" s="40" t="n">
        <f aca="false">$E55/12*T55*IF(AND($J55=1,AF$5&gt;=Assumptions!$B$18),1+Assumptions!$B$17,1)</f>
        <v>7245</v>
      </c>
      <c r="AG55" s="40" t="n">
        <f aca="false">$E55/12*U55*IF(AND($J55=1,AG$5&gt;=Assumptions!$B$18),1+Assumptions!$B$17,1)</f>
        <v>7245</v>
      </c>
      <c r="AH55" s="40" t="n">
        <f aca="false">$E55/12*V55*IF(AND($J55=1,AH$5&gt;=Assumptions!$B$18),1+Assumptions!$B$17,1)</f>
        <v>7245</v>
      </c>
    </row>
    <row r="56" customFormat="false" ht="15" hidden="false" customHeight="true" outlineLevel="0" collapsed="false">
      <c r="A56" s="13" t="str">
        <f aca="false">Roster!A56</f>
        <v>CSX-108</v>
      </c>
      <c r="B56" s="13" t="str">
        <f aca="false">Roster!B56</f>
        <v>Customer Success</v>
      </c>
      <c r="C56" s="13" t="str">
        <f aca="false">Roster!E56</f>
        <v>Existing</v>
      </c>
      <c r="D56" s="34" t="n">
        <f aca="false">Roster!D56</f>
        <v>3</v>
      </c>
      <c r="E56" s="35" t="n">
        <f aca="false">Roster!F56</f>
        <v>104500</v>
      </c>
      <c r="F56" s="36" t="n">
        <f aca="false">IF(Roster!E56="Open role",MAX(Assumptions!$B$14,EDATE(Roster!G56,IF(Roster!I56=2,Assumptions!$F$10,0)-Assumptions!$F$9)),Roster!G56)</f>
        <v>45047</v>
      </c>
      <c r="G56" s="36" t="n">
        <f aca="false">IF(Roster!H56="",DATE(2099,12,31),Roster!H56)</f>
        <v>73050</v>
      </c>
      <c r="H56" s="37" t="n">
        <f aca="false">IF(Roster!E56="Existing",1,IF(Roster!I56&lt;=Assumptions!$F$8,1,0))</f>
        <v>1</v>
      </c>
      <c r="I56" s="38" t="n">
        <f aca="false">IF(B56="Sales",Assumptions!$B$23,VLOOKUP(D56,Assumptions!$A$27:$B$31,2,FALSE()))</f>
        <v>0.1</v>
      </c>
      <c r="J56" s="37" t="n">
        <f aca="false">IF(F56&lt;Assumptions!$B$14,1,0)</f>
        <v>1</v>
      </c>
      <c r="K56" s="39" t="n">
        <f aca="false">IF($H56=1,MAX(0,MIN($G56,EOMONTH(K$5,0))-MAX($F56,K$5)+1)/DAY(EOMONTH(K$5,0)),0)</f>
        <v>1</v>
      </c>
      <c r="L56" s="39" t="n">
        <f aca="false">IF($H56=1,MAX(0,MIN($G56,EOMONTH(L$5,0))-MAX($F56,L$5)+1)/DAY(EOMONTH(L$5,0)),0)</f>
        <v>1</v>
      </c>
      <c r="M56" s="39" t="n">
        <f aca="false">IF($H56=1,MAX(0,MIN($G56,EOMONTH(M$5,0))-MAX($F56,M$5)+1)/DAY(EOMONTH(M$5,0)),0)</f>
        <v>1</v>
      </c>
      <c r="N56" s="39" t="n">
        <f aca="false">IF($H56=1,MAX(0,MIN($G56,EOMONTH(N$5,0))-MAX($F56,N$5)+1)/DAY(EOMONTH(N$5,0)),0)</f>
        <v>1</v>
      </c>
      <c r="O56" s="39" t="n">
        <f aca="false">IF($H56=1,MAX(0,MIN($G56,EOMONTH(O$5,0))-MAX($F56,O$5)+1)/DAY(EOMONTH(O$5,0)),0)</f>
        <v>1</v>
      </c>
      <c r="P56" s="39" t="n">
        <f aca="false">IF($H56=1,MAX(0,MIN($G56,EOMONTH(P$5,0))-MAX($F56,P$5)+1)/DAY(EOMONTH(P$5,0)),0)</f>
        <v>1</v>
      </c>
      <c r="Q56" s="39" t="n">
        <f aca="false">IF($H56=1,MAX(0,MIN($G56,EOMONTH(Q$5,0))-MAX($F56,Q$5)+1)/DAY(EOMONTH(Q$5,0)),0)</f>
        <v>1</v>
      </c>
      <c r="R56" s="39" t="n">
        <f aca="false">IF($H56=1,MAX(0,MIN($G56,EOMONTH(R$5,0))-MAX($F56,R$5)+1)/DAY(EOMONTH(R$5,0)),0)</f>
        <v>1</v>
      </c>
      <c r="S56" s="39" t="n">
        <f aca="false">IF($H56=1,MAX(0,MIN($G56,EOMONTH(S$5,0))-MAX($F56,S$5)+1)/DAY(EOMONTH(S$5,0)),0)</f>
        <v>1</v>
      </c>
      <c r="T56" s="39" t="n">
        <f aca="false">IF($H56=1,MAX(0,MIN($G56,EOMONTH(T$5,0))-MAX($F56,T$5)+1)/DAY(EOMONTH(T$5,0)),0)</f>
        <v>1</v>
      </c>
      <c r="U56" s="39" t="n">
        <f aca="false">IF($H56=1,MAX(0,MIN($G56,EOMONTH(U$5,0))-MAX($F56,U$5)+1)/DAY(EOMONTH(U$5,0)),0)</f>
        <v>1</v>
      </c>
      <c r="V56" s="39" t="n">
        <f aca="false">IF($H56=1,MAX(0,MIN($G56,EOMONTH(V$5,0))-MAX($F56,V$5)+1)/DAY(EOMONTH(V$5,0)),0)</f>
        <v>1</v>
      </c>
      <c r="W56" s="40" t="n">
        <f aca="false">$E56/12*K56*IF(AND($J56=1,W$5&gt;=Assumptions!$B$18),1+Assumptions!$B$17,1)</f>
        <v>8708.33333333333</v>
      </c>
      <c r="X56" s="40" t="n">
        <f aca="false">$E56/12*L56*IF(AND($J56=1,X$5&gt;=Assumptions!$B$18),1+Assumptions!$B$17,1)</f>
        <v>8708.33333333333</v>
      </c>
      <c r="Y56" s="40" t="n">
        <f aca="false">$E56/12*M56*IF(AND($J56=1,Y$5&gt;=Assumptions!$B$18),1+Assumptions!$B$17,1)</f>
        <v>8708.33333333333</v>
      </c>
      <c r="Z56" s="40" t="n">
        <f aca="false">$E56/12*N56*IF(AND($J56=1,Z$5&gt;=Assumptions!$B$18),1+Assumptions!$B$17,1)</f>
        <v>9013.125</v>
      </c>
      <c r="AA56" s="40" t="n">
        <f aca="false">$E56/12*O56*IF(AND($J56=1,AA$5&gt;=Assumptions!$B$18),1+Assumptions!$B$17,1)</f>
        <v>9013.125</v>
      </c>
      <c r="AB56" s="40" t="n">
        <f aca="false">$E56/12*P56*IF(AND($J56=1,AB$5&gt;=Assumptions!$B$18),1+Assumptions!$B$17,1)</f>
        <v>9013.125</v>
      </c>
      <c r="AC56" s="40" t="n">
        <f aca="false">$E56/12*Q56*IF(AND($J56=1,AC$5&gt;=Assumptions!$B$18),1+Assumptions!$B$17,1)</f>
        <v>9013.125</v>
      </c>
      <c r="AD56" s="40" t="n">
        <f aca="false">$E56/12*R56*IF(AND($J56=1,AD$5&gt;=Assumptions!$B$18),1+Assumptions!$B$17,1)</f>
        <v>9013.125</v>
      </c>
      <c r="AE56" s="40" t="n">
        <f aca="false">$E56/12*S56*IF(AND($J56=1,AE$5&gt;=Assumptions!$B$18),1+Assumptions!$B$17,1)</f>
        <v>9013.125</v>
      </c>
      <c r="AF56" s="40" t="n">
        <f aca="false">$E56/12*T56*IF(AND($J56=1,AF$5&gt;=Assumptions!$B$18),1+Assumptions!$B$17,1)</f>
        <v>9013.125</v>
      </c>
      <c r="AG56" s="40" t="n">
        <f aca="false">$E56/12*U56*IF(AND($J56=1,AG$5&gt;=Assumptions!$B$18),1+Assumptions!$B$17,1)</f>
        <v>9013.125</v>
      </c>
      <c r="AH56" s="40" t="n">
        <f aca="false">$E56/12*V56*IF(AND($J56=1,AH$5&gt;=Assumptions!$B$18),1+Assumptions!$B$17,1)</f>
        <v>9013.125</v>
      </c>
    </row>
    <row r="57" customFormat="false" ht="15" hidden="false" customHeight="true" outlineLevel="0" collapsed="false">
      <c r="A57" s="13" t="str">
        <f aca="false">Roster!A57</f>
        <v>CSX-109</v>
      </c>
      <c r="B57" s="13" t="str">
        <f aca="false">Roster!B57</f>
        <v>Customer Success</v>
      </c>
      <c r="C57" s="13" t="str">
        <f aca="false">Roster!E57</f>
        <v>Existing</v>
      </c>
      <c r="D57" s="34" t="n">
        <f aca="false">Roster!D57</f>
        <v>4</v>
      </c>
      <c r="E57" s="35" t="n">
        <f aca="false">Roster!F57</f>
        <v>141500</v>
      </c>
      <c r="F57" s="36" t="n">
        <f aca="false">IF(Roster!E57="Open role",MAX(Assumptions!$B$14,EDATE(Roster!G57,IF(Roster!I57=2,Assumptions!$F$10,0)-Assumptions!$F$9)),Roster!G57)</f>
        <v>46296</v>
      </c>
      <c r="G57" s="36" t="n">
        <f aca="false">IF(Roster!H57="",DATE(2099,12,31),Roster!H57)</f>
        <v>73050</v>
      </c>
      <c r="H57" s="37" t="n">
        <f aca="false">IF(Roster!E57="Existing",1,IF(Roster!I57&lt;=Assumptions!$F$8,1,0))</f>
        <v>1</v>
      </c>
      <c r="I57" s="38" t="n">
        <f aca="false">IF(B57="Sales",Assumptions!$B$23,VLOOKUP(D57,Assumptions!$A$27:$B$31,2,FALSE()))</f>
        <v>0.15</v>
      </c>
      <c r="J57" s="37" t="n">
        <f aca="false">IF(F57&lt;Assumptions!$B$14,1,0)</f>
        <v>1</v>
      </c>
      <c r="K57" s="39" t="n">
        <f aca="false">IF($H57=1,MAX(0,MIN($G57,EOMONTH(K$5,0))-MAX($F57,K$5)+1)/DAY(EOMONTH(K$5,0)),0)</f>
        <v>1</v>
      </c>
      <c r="L57" s="39" t="n">
        <f aca="false">IF($H57=1,MAX(0,MIN($G57,EOMONTH(L$5,0))-MAX($F57,L$5)+1)/DAY(EOMONTH(L$5,0)),0)</f>
        <v>1</v>
      </c>
      <c r="M57" s="39" t="n">
        <f aca="false">IF($H57=1,MAX(0,MIN($G57,EOMONTH(M$5,0))-MAX($F57,M$5)+1)/DAY(EOMONTH(M$5,0)),0)</f>
        <v>1</v>
      </c>
      <c r="N57" s="39" t="n">
        <f aca="false">IF($H57=1,MAX(0,MIN($G57,EOMONTH(N$5,0))-MAX($F57,N$5)+1)/DAY(EOMONTH(N$5,0)),0)</f>
        <v>1</v>
      </c>
      <c r="O57" s="39" t="n">
        <f aca="false">IF($H57=1,MAX(0,MIN($G57,EOMONTH(O$5,0))-MAX($F57,O$5)+1)/DAY(EOMONTH(O$5,0)),0)</f>
        <v>1</v>
      </c>
      <c r="P57" s="39" t="n">
        <f aca="false">IF($H57=1,MAX(0,MIN($G57,EOMONTH(P$5,0))-MAX($F57,P$5)+1)/DAY(EOMONTH(P$5,0)),0)</f>
        <v>1</v>
      </c>
      <c r="Q57" s="39" t="n">
        <f aca="false">IF($H57=1,MAX(0,MIN($G57,EOMONTH(Q$5,0))-MAX($F57,Q$5)+1)/DAY(EOMONTH(Q$5,0)),0)</f>
        <v>1</v>
      </c>
      <c r="R57" s="39" t="n">
        <f aca="false">IF($H57=1,MAX(0,MIN($G57,EOMONTH(R$5,0))-MAX($F57,R$5)+1)/DAY(EOMONTH(R$5,0)),0)</f>
        <v>1</v>
      </c>
      <c r="S57" s="39" t="n">
        <f aca="false">IF($H57=1,MAX(0,MIN($G57,EOMONTH(S$5,0))-MAX($F57,S$5)+1)/DAY(EOMONTH(S$5,0)),0)</f>
        <v>1</v>
      </c>
      <c r="T57" s="39" t="n">
        <f aca="false">IF($H57=1,MAX(0,MIN($G57,EOMONTH(T$5,0))-MAX($F57,T$5)+1)/DAY(EOMONTH(T$5,0)),0)</f>
        <v>1</v>
      </c>
      <c r="U57" s="39" t="n">
        <f aca="false">IF($H57=1,MAX(0,MIN($G57,EOMONTH(U$5,0))-MAX($F57,U$5)+1)/DAY(EOMONTH(U$5,0)),0)</f>
        <v>1</v>
      </c>
      <c r="V57" s="39" t="n">
        <f aca="false">IF($H57=1,MAX(0,MIN($G57,EOMONTH(V$5,0))-MAX($F57,V$5)+1)/DAY(EOMONTH(V$5,0)),0)</f>
        <v>1</v>
      </c>
      <c r="W57" s="40" t="n">
        <f aca="false">$E57/12*K57*IF(AND($J57=1,W$5&gt;=Assumptions!$B$18),1+Assumptions!$B$17,1)</f>
        <v>11791.6666666667</v>
      </c>
      <c r="X57" s="40" t="n">
        <f aca="false">$E57/12*L57*IF(AND($J57=1,X$5&gt;=Assumptions!$B$18),1+Assumptions!$B$17,1)</f>
        <v>11791.6666666667</v>
      </c>
      <c r="Y57" s="40" t="n">
        <f aca="false">$E57/12*M57*IF(AND($J57=1,Y$5&gt;=Assumptions!$B$18),1+Assumptions!$B$17,1)</f>
        <v>11791.6666666667</v>
      </c>
      <c r="Z57" s="40" t="n">
        <f aca="false">$E57/12*N57*IF(AND($J57=1,Z$5&gt;=Assumptions!$B$18),1+Assumptions!$B$17,1)</f>
        <v>12204.375</v>
      </c>
      <c r="AA57" s="40" t="n">
        <f aca="false">$E57/12*O57*IF(AND($J57=1,AA$5&gt;=Assumptions!$B$18),1+Assumptions!$B$17,1)</f>
        <v>12204.375</v>
      </c>
      <c r="AB57" s="40" t="n">
        <f aca="false">$E57/12*P57*IF(AND($J57=1,AB$5&gt;=Assumptions!$B$18),1+Assumptions!$B$17,1)</f>
        <v>12204.375</v>
      </c>
      <c r="AC57" s="40" t="n">
        <f aca="false">$E57/12*Q57*IF(AND($J57=1,AC$5&gt;=Assumptions!$B$18),1+Assumptions!$B$17,1)</f>
        <v>12204.375</v>
      </c>
      <c r="AD57" s="40" t="n">
        <f aca="false">$E57/12*R57*IF(AND($J57=1,AD$5&gt;=Assumptions!$B$18),1+Assumptions!$B$17,1)</f>
        <v>12204.375</v>
      </c>
      <c r="AE57" s="40" t="n">
        <f aca="false">$E57/12*S57*IF(AND($J57=1,AE$5&gt;=Assumptions!$B$18),1+Assumptions!$B$17,1)</f>
        <v>12204.375</v>
      </c>
      <c r="AF57" s="40" t="n">
        <f aca="false">$E57/12*T57*IF(AND($J57=1,AF$5&gt;=Assumptions!$B$18),1+Assumptions!$B$17,1)</f>
        <v>12204.375</v>
      </c>
      <c r="AG57" s="40" t="n">
        <f aca="false">$E57/12*U57*IF(AND($J57=1,AG$5&gt;=Assumptions!$B$18),1+Assumptions!$B$17,1)</f>
        <v>12204.375</v>
      </c>
      <c r="AH57" s="40" t="n">
        <f aca="false">$E57/12*V57*IF(AND($J57=1,AH$5&gt;=Assumptions!$B$18),1+Assumptions!$B$17,1)</f>
        <v>12204.375</v>
      </c>
    </row>
    <row r="58" customFormat="false" ht="15" hidden="false" customHeight="true" outlineLevel="0" collapsed="false">
      <c r="A58" s="13" t="str">
        <f aca="false">Roster!A58</f>
        <v>GNA-101</v>
      </c>
      <c r="B58" s="13" t="str">
        <f aca="false">Roster!B58</f>
        <v>G&amp;A</v>
      </c>
      <c r="C58" s="13" t="str">
        <f aca="false">Roster!E58</f>
        <v>Existing</v>
      </c>
      <c r="D58" s="34" t="n">
        <f aca="false">Roster!D58</f>
        <v>1</v>
      </c>
      <c r="E58" s="35" t="n">
        <f aca="false">Roster!F58</f>
        <v>68500</v>
      </c>
      <c r="F58" s="36" t="n">
        <f aca="false">IF(Roster!E58="Open role",MAX(Assumptions!$B$14,EDATE(Roster!G58,IF(Roster!I58=2,Assumptions!$F$10,0)-Assumptions!$F$9)),Roster!G58)</f>
        <v>44348</v>
      </c>
      <c r="G58" s="36" t="n">
        <f aca="false">IF(Roster!H58="",DATE(2099,12,31),Roster!H58)</f>
        <v>73050</v>
      </c>
      <c r="H58" s="37" t="n">
        <f aca="false">IF(Roster!E58="Existing",1,IF(Roster!I58&lt;=Assumptions!$F$8,1,0))</f>
        <v>1</v>
      </c>
      <c r="I58" s="38" t="n">
        <f aca="false">IF(B58="Sales",Assumptions!$B$23,VLOOKUP(D58,Assumptions!$A$27:$B$31,2,FALSE()))</f>
        <v>0.05</v>
      </c>
      <c r="J58" s="37" t="n">
        <f aca="false">IF(F58&lt;Assumptions!$B$14,1,0)</f>
        <v>1</v>
      </c>
      <c r="K58" s="39" t="n">
        <f aca="false">IF($H58=1,MAX(0,MIN($G58,EOMONTH(K$5,0))-MAX($F58,K$5)+1)/DAY(EOMONTH(K$5,0)),0)</f>
        <v>1</v>
      </c>
      <c r="L58" s="39" t="n">
        <f aca="false">IF($H58=1,MAX(0,MIN($G58,EOMONTH(L$5,0))-MAX($F58,L$5)+1)/DAY(EOMONTH(L$5,0)),0)</f>
        <v>1</v>
      </c>
      <c r="M58" s="39" t="n">
        <f aca="false">IF($H58=1,MAX(0,MIN($G58,EOMONTH(M$5,0))-MAX($F58,M$5)+1)/DAY(EOMONTH(M$5,0)),0)</f>
        <v>1</v>
      </c>
      <c r="N58" s="39" t="n">
        <f aca="false">IF($H58=1,MAX(0,MIN($G58,EOMONTH(N$5,0))-MAX($F58,N$5)+1)/DAY(EOMONTH(N$5,0)),0)</f>
        <v>1</v>
      </c>
      <c r="O58" s="39" t="n">
        <f aca="false">IF($H58=1,MAX(0,MIN($G58,EOMONTH(O$5,0))-MAX($F58,O$5)+1)/DAY(EOMONTH(O$5,0)),0)</f>
        <v>1</v>
      </c>
      <c r="P58" s="39" t="n">
        <f aca="false">IF($H58=1,MAX(0,MIN($G58,EOMONTH(P$5,0))-MAX($F58,P$5)+1)/DAY(EOMONTH(P$5,0)),0)</f>
        <v>1</v>
      </c>
      <c r="Q58" s="39" t="n">
        <f aca="false">IF($H58=1,MAX(0,MIN($G58,EOMONTH(Q$5,0))-MAX($F58,Q$5)+1)/DAY(EOMONTH(Q$5,0)),0)</f>
        <v>1</v>
      </c>
      <c r="R58" s="39" t="n">
        <f aca="false">IF($H58=1,MAX(0,MIN($G58,EOMONTH(R$5,0))-MAX($F58,R$5)+1)/DAY(EOMONTH(R$5,0)),0)</f>
        <v>1</v>
      </c>
      <c r="S58" s="39" t="n">
        <f aca="false">IF($H58=1,MAX(0,MIN($G58,EOMONTH(S$5,0))-MAX($F58,S$5)+1)/DAY(EOMONTH(S$5,0)),0)</f>
        <v>1</v>
      </c>
      <c r="T58" s="39" t="n">
        <f aca="false">IF($H58=1,MAX(0,MIN($G58,EOMONTH(T$5,0))-MAX($F58,T$5)+1)/DAY(EOMONTH(T$5,0)),0)</f>
        <v>1</v>
      </c>
      <c r="U58" s="39" t="n">
        <f aca="false">IF($H58=1,MAX(0,MIN($G58,EOMONTH(U$5,0))-MAX($F58,U$5)+1)/DAY(EOMONTH(U$5,0)),0)</f>
        <v>1</v>
      </c>
      <c r="V58" s="39" t="n">
        <f aca="false">IF($H58=1,MAX(0,MIN($G58,EOMONTH(V$5,0))-MAX($F58,V$5)+1)/DAY(EOMONTH(V$5,0)),0)</f>
        <v>1</v>
      </c>
      <c r="W58" s="40" t="n">
        <f aca="false">$E58/12*K58*IF(AND($J58=1,W$5&gt;=Assumptions!$B$18),1+Assumptions!$B$17,1)</f>
        <v>5708.33333333333</v>
      </c>
      <c r="X58" s="40" t="n">
        <f aca="false">$E58/12*L58*IF(AND($J58=1,X$5&gt;=Assumptions!$B$18),1+Assumptions!$B$17,1)</f>
        <v>5708.33333333333</v>
      </c>
      <c r="Y58" s="40" t="n">
        <f aca="false">$E58/12*M58*IF(AND($J58=1,Y$5&gt;=Assumptions!$B$18),1+Assumptions!$B$17,1)</f>
        <v>5708.33333333333</v>
      </c>
      <c r="Z58" s="40" t="n">
        <f aca="false">$E58/12*N58*IF(AND($J58=1,Z$5&gt;=Assumptions!$B$18),1+Assumptions!$B$17,1)</f>
        <v>5908.125</v>
      </c>
      <c r="AA58" s="40" t="n">
        <f aca="false">$E58/12*O58*IF(AND($J58=1,AA$5&gt;=Assumptions!$B$18),1+Assumptions!$B$17,1)</f>
        <v>5908.125</v>
      </c>
      <c r="AB58" s="40" t="n">
        <f aca="false">$E58/12*P58*IF(AND($J58=1,AB$5&gt;=Assumptions!$B$18),1+Assumptions!$B$17,1)</f>
        <v>5908.125</v>
      </c>
      <c r="AC58" s="40" t="n">
        <f aca="false">$E58/12*Q58*IF(AND($J58=1,AC$5&gt;=Assumptions!$B$18),1+Assumptions!$B$17,1)</f>
        <v>5908.125</v>
      </c>
      <c r="AD58" s="40" t="n">
        <f aca="false">$E58/12*R58*IF(AND($J58=1,AD$5&gt;=Assumptions!$B$18),1+Assumptions!$B$17,1)</f>
        <v>5908.125</v>
      </c>
      <c r="AE58" s="40" t="n">
        <f aca="false">$E58/12*S58*IF(AND($J58=1,AE$5&gt;=Assumptions!$B$18),1+Assumptions!$B$17,1)</f>
        <v>5908.125</v>
      </c>
      <c r="AF58" s="40" t="n">
        <f aca="false">$E58/12*T58*IF(AND($J58=1,AF$5&gt;=Assumptions!$B$18),1+Assumptions!$B$17,1)</f>
        <v>5908.125</v>
      </c>
      <c r="AG58" s="40" t="n">
        <f aca="false">$E58/12*U58*IF(AND($J58=1,AG$5&gt;=Assumptions!$B$18),1+Assumptions!$B$17,1)</f>
        <v>5908.125</v>
      </c>
      <c r="AH58" s="40" t="n">
        <f aca="false">$E58/12*V58*IF(AND($J58=1,AH$5&gt;=Assumptions!$B$18),1+Assumptions!$B$17,1)</f>
        <v>5908.125</v>
      </c>
    </row>
    <row r="59" customFormat="false" ht="15" hidden="false" customHeight="true" outlineLevel="0" collapsed="false">
      <c r="A59" s="13" t="str">
        <f aca="false">Roster!A59</f>
        <v>GNA-102</v>
      </c>
      <c r="B59" s="13" t="str">
        <f aca="false">Roster!B59</f>
        <v>G&amp;A</v>
      </c>
      <c r="C59" s="13" t="str">
        <f aca="false">Roster!E59</f>
        <v>Existing</v>
      </c>
      <c r="D59" s="34" t="n">
        <f aca="false">Roster!D59</f>
        <v>1</v>
      </c>
      <c r="E59" s="35" t="n">
        <f aca="false">Roster!F59</f>
        <v>70000</v>
      </c>
      <c r="F59" s="36" t="n">
        <f aca="false">IF(Roster!E59="Open role",MAX(Assumptions!$B$14,EDATE(Roster!G59,IF(Roster!I59=2,Assumptions!$F$10,0)-Assumptions!$F$9)),Roster!G59)</f>
        <v>45597</v>
      </c>
      <c r="G59" s="36" t="n">
        <f aca="false">IF(Roster!H59="",DATE(2099,12,31),Roster!H59)</f>
        <v>73050</v>
      </c>
      <c r="H59" s="37" t="n">
        <f aca="false">IF(Roster!E59="Existing",1,IF(Roster!I59&lt;=Assumptions!$F$8,1,0))</f>
        <v>1</v>
      </c>
      <c r="I59" s="38" t="n">
        <f aca="false">IF(B59="Sales",Assumptions!$B$23,VLOOKUP(D59,Assumptions!$A$27:$B$31,2,FALSE()))</f>
        <v>0.05</v>
      </c>
      <c r="J59" s="37" t="n">
        <f aca="false">IF(F59&lt;Assumptions!$B$14,1,0)</f>
        <v>1</v>
      </c>
      <c r="K59" s="39" t="n">
        <f aca="false">IF($H59=1,MAX(0,MIN($G59,EOMONTH(K$5,0))-MAX($F59,K$5)+1)/DAY(EOMONTH(K$5,0)),0)</f>
        <v>1</v>
      </c>
      <c r="L59" s="39" t="n">
        <f aca="false">IF($H59=1,MAX(0,MIN($G59,EOMONTH(L$5,0))-MAX($F59,L$5)+1)/DAY(EOMONTH(L$5,0)),0)</f>
        <v>1</v>
      </c>
      <c r="M59" s="39" t="n">
        <f aca="false">IF($H59=1,MAX(0,MIN($G59,EOMONTH(M$5,0))-MAX($F59,M$5)+1)/DAY(EOMONTH(M$5,0)),0)</f>
        <v>1</v>
      </c>
      <c r="N59" s="39" t="n">
        <f aca="false">IF($H59=1,MAX(0,MIN($G59,EOMONTH(N$5,0))-MAX($F59,N$5)+1)/DAY(EOMONTH(N$5,0)),0)</f>
        <v>1</v>
      </c>
      <c r="O59" s="39" t="n">
        <f aca="false">IF($H59=1,MAX(0,MIN($G59,EOMONTH(O$5,0))-MAX($F59,O$5)+1)/DAY(EOMONTH(O$5,0)),0)</f>
        <v>1</v>
      </c>
      <c r="P59" s="39" t="n">
        <f aca="false">IF($H59=1,MAX(0,MIN($G59,EOMONTH(P$5,0))-MAX($F59,P$5)+1)/DAY(EOMONTH(P$5,0)),0)</f>
        <v>1</v>
      </c>
      <c r="Q59" s="39" t="n">
        <f aca="false">IF($H59=1,MAX(0,MIN($G59,EOMONTH(Q$5,0))-MAX($F59,Q$5)+1)/DAY(EOMONTH(Q$5,0)),0)</f>
        <v>1</v>
      </c>
      <c r="R59" s="39" t="n">
        <f aca="false">IF($H59=1,MAX(0,MIN($G59,EOMONTH(R$5,0))-MAX($F59,R$5)+1)/DAY(EOMONTH(R$5,0)),0)</f>
        <v>1</v>
      </c>
      <c r="S59" s="39" t="n">
        <f aca="false">IF($H59=1,MAX(0,MIN($G59,EOMONTH(S$5,0))-MAX($F59,S$5)+1)/DAY(EOMONTH(S$5,0)),0)</f>
        <v>1</v>
      </c>
      <c r="T59" s="39" t="n">
        <f aca="false">IF($H59=1,MAX(0,MIN($G59,EOMONTH(T$5,0))-MAX($F59,T$5)+1)/DAY(EOMONTH(T$5,0)),0)</f>
        <v>1</v>
      </c>
      <c r="U59" s="39" t="n">
        <f aca="false">IF($H59=1,MAX(0,MIN($G59,EOMONTH(U$5,0))-MAX($F59,U$5)+1)/DAY(EOMONTH(U$5,0)),0)</f>
        <v>1</v>
      </c>
      <c r="V59" s="39" t="n">
        <f aca="false">IF($H59=1,MAX(0,MIN($G59,EOMONTH(V$5,0))-MAX($F59,V$5)+1)/DAY(EOMONTH(V$5,0)),0)</f>
        <v>1</v>
      </c>
      <c r="W59" s="40" t="n">
        <f aca="false">$E59/12*K59*IF(AND($J59=1,W$5&gt;=Assumptions!$B$18),1+Assumptions!$B$17,1)</f>
        <v>5833.33333333333</v>
      </c>
      <c r="X59" s="40" t="n">
        <f aca="false">$E59/12*L59*IF(AND($J59=1,X$5&gt;=Assumptions!$B$18),1+Assumptions!$B$17,1)</f>
        <v>5833.33333333333</v>
      </c>
      <c r="Y59" s="40" t="n">
        <f aca="false">$E59/12*M59*IF(AND($J59=1,Y$5&gt;=Assumptions!$B$18),1+Assumptions!$B$17,1)</f>
        <v>5833.33333333333</v>
      </c>
      <c r="Z59" s="40" t="n">
        <f aca="false">$E59/12*N59*IF(AND($J59=1,Z$5&gt;=Assumptions!$B$18),1+Assumptions!$B$17,1)</f>
        <v>6037.5</v>
      </c>
      <c r="AA59" s="40" t="n">
        <f aca="false">$E59/12*O59*IF(AND($J59=1,AA$5&gt;=Assumptions!$B$18),1+Assumptions!$B$17,1)</f>
        <v>6037.5</v>
      </c>
      <c r="AB59" s="40" t="n">
        <f aca="false">$E59/12*P59*IF(AND($J59=1,AB$5&gt;=Assumptions!$B$18),1+Assumptions!$B$17,1)</f>
        <v>6037.5</v>
      </c>
      <c r="AC59" s="40" t="n">
        <f aca="false">$E59/12*Q59*IF(AND($J59=1,AC$5&gt;=Assumptions!$B$18),1+Assumptions!$B$17,1)</f>
        <v>6037.5</v>
      </c>
      <c r="AD59" s="40" t="n">
        <f aca="false">$E59/12*R59*IF(AND($J59=1,AD$5&gt;=Assumptions!$B$18),1+Assumptions!$B$17,1)</f>
        <v>6037.5</v>
      </c>
      <c r="AE59" s="40" t="n">
        <f aca="false">$E59/12*S59*IF(AND($J59=1,AE$5&gt;=Assumptions!$B$18),1+Assumptions!$B$17,1)</f>
        <v>6037.5</v>
      </c>
      <c r="AF59" s="40" t="n">
        <f aca="false">$E59/12*T59*IF(AND($J59=1,AF$5&gt;=Assumptions!$B$18),1+Assumptions!$B$17,1)</f>
        <v>6037.5</v>
      </c>
      <c r="AG59" s="40" t="n">
        <f aca="false">$E59/12*U59*IF(AND($J59=1,AG$5&gt;=Assumptions!$B$18),1+Assumptions!$B$17,1)</f>
        <v>6037.5</v>
      </c>
      <c r="AH59" s="40" t="n">
        <f aca="false">$E59/12*V59*IF(AND($J59=1,AH$5&gt;=Assumptions!$B$18),1+Assumptions!$B$17,1)</f>
        <v>6037.5</v>
      </c>
    </row>
    <row r="60" customFormat="false" ht="15" hidden="false" customHeight="true" outlineLevel="0" collapsed="false">
      <c r="A60" s="13" t="str">
        <f aca="false">Roster!A60</f>
        <v>GNA-103</v>
      </c>
      <c r="B60" s="13" t="str">
        <f aca="false">Roster!B60</f>
        <v>G&amp;A</v>
      </c>
      <c r="C60" s="13" t="str">
        <f aca="false">Roster!E60</f>
        <v>Existing</v>
      </c>
      <c r="D60" s="34" t="n">
        <f aca="false">Roster!D60</f>
        <v>2</v>
      </c>
      <c r="E60" s="35" t="n">
        <f aca="false">Roster!F60</f>
        <v>88500</v>
      </c>
      <c r="F60" s="36" t="n">
        <f aca="false">IF(Roster!E60="Open role",MAX(Assumptions!$B$14,EDATE(Roster!G60,IF(Roster!I60=2,Assumptions!$F$10,0)-Assumptions!$F$9)),Roster!G60)</f>
        <v>43556</v>
      </c>
      <c r="G60" s="36" t="n">
        <f aca="false">IF(Roster!H60="",DATE(2099,12,31),Roster!H60)</f>
        <v>73050</v>
      </c>
      <c r="H60" s="37" t="n">
        <f aca="false">IF(Roster!E60="Existing",1,IF(Roster!I60&lt;=Assumptions!$F$8,1,0))</f>
        <v>1</v>
      </c>
      <c r="I60" s="38" t="n">
        <f aca="false">IF(B60="Sales",Assumptions!$B$23,VLOOKUP(D60,Assumptions!$A$27:$B$31,2,FALSE()))</f>
        <v>0.08</v>
      </c>
      <c r="J60" s="37" t="n">
        <f aca="false">IF(F60&lt;Assumptions!$B$14,1,0)</f>
        <v>1</v>
      </c>
      <c r="K60" s="39" t="n">
        <f aca="false">IF($H60=1,MAX(0,MIN($G60,EOMONTH(K$5,0))-MAX($F60,K$5)+1)/DAY(EOMONTH(K$5,0)),0)</f>
        <v>1</v>
      </c>
      <c r="L60" s="39" t="n">
        <f aca="false">IF($H60=1,MAX(0,MIN($G60,EOMONTH(L$5,0))-MAX($F60,L$5)+1)/DAY(EOMONTH(L$5,0)),0)</f>
        <v>1</v>
      </c>
      <c r="M60" s="39" t="n">
        <f aca="false">IF($H60=1,MAX(0,MIN($G60,EOMONTH(M$5,0))-MAX($F60,M$5)+1)/DAY(EOMONTH(M$5,0)),0)</f>
        <v>1</v>
      </c>
      <c r="N60" s="39" t="n">
        <f aca="false">IF($H60=1,MAX(0,MIN($G60,EOMONTH(N$5,0))-MAX($F60,N$5)+1)/DAY(EOMONTH(N$5,0)),0)</f>
        <v>1</v>
      </c>
      <c r="O60" s="39" t="n">
        <f aca="false">IF($H60=1,MAX(0,MIN($G60,EOMONTH(O$5,0))-MAX($F60,O$5)+1)/DAY(EOMONTH(O$5,0)),0)</f>
        <v>1</v>
      </c>
      <c r="P60" s="39" t="n">
        <f aca="false">IF($H60=1,MAX(0,MIN($G60,EOMONTH(P$5,0))-MAX($F60,P$5)+1)/DAY(EOMONTH(P$5,0)),0)</f>
        <v>1</v>
      </c>
      <c r="Q60" s="39" t="n">
        <f aca="false">IF($H60=1,MAX(0,MIN($G60,EOMONTH(Q$5,0))-MAX($F60,Q$5)+1)/DAY(EOMONTH(Q$5,0)),0)</f>
        <v>1</v>
      </c>
      <c r="R60" s="39" t="n">
        <f aca="false">IF($H60=1,MAX(0,MIN($G60,EOMONTH(R$5,0))-MAX($F60,R$5)+1)/DAY(EOMONTH(R$5,0)),0)</f>
        <v>1</v>
      </c>
      <c r="S60" s="39" t="n">
        <f aca="false">IF($H60=1,MAX(0,MIN($G60,EOMONTH(S$5,0))-MAX($F60,S$5)+1)/DAY(EOMONTH(S$5,0)),0)</f>
        <v>1</v>
      </c>
      <c r="T60" s="39" t="n">
        <f aca="false">IF($H60=1,MAX(0,MIN($G60,EOMONTH(T$5,0))-MAX($F60,T$5)+1)/DAY(EOMONTH(T$5,0)),0)</f>
        <v>1</v>
      </c>
      <c r="U60" s="39" t="n">
        <f aca="false">IF($H60=1,MAX(0,MIN($G60,EOMONTH(U$5,0))-MAX($F60,U$5)+1)/DAY(EOMONTH(U$5,0)),0)</f>
        <v>1</v>
      </c>
      <c r="V60" s="39" t="n">
        <f aca="false">IF($H60=1,MAX(0,MIN($G60,EOMONTH(V$5,0))-MAX($F60,V$5)+1)/DAY(EOMONTH(V$5,0)),0)</f>
        <v>1</v>
      </c>
      <c r="W60" s="40" t="n">
        <f aca="false">$E60/12*K60*IF(AND($J60=1,W$5&gt;=Assumptions!$B$18),1+Assumptions!$B$17,1)</f>
        <v>7375</v>
      </c>
      <c r="X60" s="40" t="n">
        <f aca="false">$E60/12*L60*IF(AND($J60=1,X$5&gt;=Assumptions!$B$18),1+Assumptions!$B$17,1)</f>
        <v>7375</v>
      </c>
      <c r="Y60" s="40" t="n">
        <f aca="false">$E60/12*M60*IF(AND($J60=1,Y$5&gt;=Assumptions!$B$18),1+Assumptions!$B$17,1)</f>
        <v>7375</v>
      </c>
      <c r="Z60" s="40" t="n">
        <f aca="false">$E60/12*N60*IF(AND($J60=1,Z$5&gt;=Assumptions!$B$18),1+Assumptions!$B$17,1)</f>
        <v>7633.125</v>
      </c>
      <c r="AA60" s="40" t="n">
        <f aca="false">$E60/12*O60*IF(AND($J60=1,AA$5&gt;=Assumptions!$B$18),1+Assumptions!$B$17,1)</f>
        <v>7633.125</v>
      </c>
      <c r="AB60" s="40" t="n">
        <f aca="false">$E60/12*P60*IF(AND($J60=1,AB$5&gt;=Assumptions!$B$18),1+Assumptions!$B$17,1)</f>
        <v>7633.125</v>
      </c>
      <c r="AC60" s="40" t="n">
        <f aca="false">$E60/12*Q60*IF(AND($J60=1,AC$5&gt;=Assumptions!$B$18),1+Assumptions!$B$17,1)</f>
        <v>7633.125</v>
      </c>
      <c r="AD60" s="40" t="n">
        <f aca="false">$E60/12*R60*IF(AND($J60=1,AD$5&gt;=Assumptions!$B$18),1+Assumptions!$B$17,1)</f>
        <v>7633.125</v>
      </c>
      <c r="AE60" s="40" t="n">
        <f aca="false">$E60/12*S60*IF(AND($J60=1,AE$5&gt;=Assumptions!$B$18),1+Assumptions!$B$17,1)</f>
        <v>7633.125</v>
      </c>
      <c r="AF60" s="40" t="n">
        <f aca="false">$E60/12*T60*IF(AND($J60=1,AF$5&gt;=Assumptions!$B$18),1+Assumptions!$B$17,1)</f>
        <v>7633.125</v>
      </c>
      <c r="AG60" s="40" t="n">
        <f aca="false">$E60/12*U60*IF(AND($J60=1,AG$5&gt;=Assumptions!$B$18),1+Assumptions!$B$17,1)</f>
        <v>7633.125</v>
      </c>
      <c r="AH60" s="40" t="n">
        <f aca="false">$E60/12*V60*IF(AND($J60=1,AH$5&gt;=Assumptions!$B$18),1+Assumptions!$B$17,1)</f>
        <v>7633.125</v>
      </c>
    </row>
    <row r="61" customFormat="false" ht="15" hidden="false" customHeight="true" outlineLevel="0" collapsed="false">
      <c r="A61" s="13" t="str">
        <f aca="false">Roster!A61</f>
        <v>GNA-104</v>
      </c>
      <c r="B61" s="13" t="str">
        <f aca="false">Roster!B61</f>
        <v>G&amp;A</v>
      </c>
      <c r="C61" s="13" t="str">
        <f aca="false">Roster!E61</f>
        <v>Existing</v>
      </c>
      <c r="D61" s="34" t="n">
        <f aca="false">Roster!D61</f>
        <v>2</v>
      </c>
      <c r="E61" s="35" t="n">
        <f aca="false">Roster!F61</f>
        <v>94000</v>
      </c>
      <c r="F61" s="36" t="n">
        <f aca="false">IF(Roster!E61="Open role",MAX(Assumptions!$B$14,EDATE(Roster!G61,IF(Roster!I61=2,Assumptions!$F$10,0)-Assumptions!$F$9)),Roster!G61)</f>
        <v>44805</v>
      </c>
      <c r="G61" s="36" t="n">
        <f aca="false">IF(Roster!H61="",DATE(2099,12,31),Roster!H61)</f>
        <v>73050</v>
      </c>
      <c r="H61" s="37" t="n">
        <f aca="false">IF(Roster!E61="Existing",1,IF(Roster!I61&lt;=Assumptions!$F$8,1,0))</f>
        <v>1</v>
      </c>
      <c r="I61" s="38" t="n">
        <f aca="false">IF(B61="Sales",Assumptions!$B$23,VLOOKUP(D61,Assumptions!$A$27:$B$31,2,FALSE()))</f>
        <v>0.08</v>
      </c>
      <c r="J61" s="37" t="n">
        <f aca="false">IF(F61&lt;Assumptions!$B$14,1,0)</f>
        <v>1</v>
      </c>
      <c r="K61" s="39" t="n">
        <f aca="false">IF($H61=1,MAX(0,MIN($G61,EOMONTH(K$5,0))-MAX($F61,K$5)+1)/DAY(EOMONTH(K$5,0)),0)</f>
        <v>1</v>
      </c>
      <c r="L61" s="39" t="n">
        <f aca="false">IF($H61=1,MAX(0,MIN($G61,EOMONTH(L$5,0))-MAX($F61,L$5)+1)/DAY(EOMONTH(L$5,0)),0)</f>
        <v>1</v>
      </c>
      <c r="M61" s="39" t="n">
        <f aca="false">IF($H61=1,MAX(0,MIN($G61,EOMONTH(M$5,0))-MAX($F61,M$5)+1)/DAY(EOMONTH(M$5,0)),0)</f>
        <v>1</v>
      </c>
      <c r="N61" s="39" t="n">
        <f aca="false">IF($H61=1,MAX(0,MIN($G61,EOMONTH(N$5,0))-MAX($F61,N$5)+1)/DAY(EOMONTH(N$5,0)),0)</f>
        <v>1</v>
      </c>
      <c r="O61" s="39" t="n">
        <f aca="false">IF($H61=1,MAX(0,MIN($G61,EOMONTH(O$5,0))-MAX($F61,O$5)+1)/DAY(EOMONTH(O$5,0)),0)</f>
        <v>1</v>
      </c>
      <c r="P61" s="39" t="n">
        <f aca="false">IF($H61=1,MAX(0,MIN($G61,EOMONTH(P$5,0))-MAX($F61,P$5)+1)/DAY(EOMONTH(P$5,0)),0)</f>
        <v>1</v>
      </c>
      <c r="Q61" s="39" t="n">
        <f aca="false">IF($H61=1,MAX(0,MIN($G61,EOMONTH(Q$5,0))-MAX($F61,Q$5)+1)/DAY(EOMONTH(Q$5,0)),0)</f>
        <v>1</v>
      </c>
      <c r="R61" s="39" t="n">
        <f aca="false">IF($H61=1,MAX(0,MIN($G61,EOMONTH(R$5,0))-MAX($F61,R$5)+1)/DAY(EOMONTH(R$5,0)),0)</f>
        <v>1</v>
      </c>
      <c r="S61" s="39" t="n">
        <f aca="false">IF($H61=1,MAX(0,MIN($G61,EOMONTH(S$5,0))-MAX($F61,S$5)+1)/DAY(EOMONTH(S$5,0)),0)</f>
        <v>1</v>
      </c>
      <c r="T61" s="39" t="n">
        <f aca="false">IF($H61=1,MAX(0,MIN($G61,EOMONTH(T$5,0))-MAX($F61,T$5)+1)/DAY(EOMONTH(T$5,0)),0)</f>
        <v>1</v>
      </c>
      <c r="U61" s="39" t="n">
        <f aca="false">IF($H61=1,MAX(0,MIN($G61,EOMONTH(U$5,0))-MAX($F61,U$5)+1)/DAY(EOMONTH(U$5,0)),0)</f>
        <v>1</v>
      </c>
      <c r="V61" s="39" t="n">
        <f aca="false">IF($H61=1,MAX(0,MIN($G61,EOMONTH(V$5,0))-MAX($F61,V$5)+1)/DAY(EOMONTH(V$5,0)),0)</f>
        <v>1</v>
      </c>
      <c r="W61" s="40" t="n">
        <f aca="false">$E61/12*K61*IF(AND($J61=1,W$5&gt;=Assumptions!$B$18),1+Assumptions!$B$17,1)</f>
        <v>7833.33333333333</v>
      </c>
      <c r="X61" s="40" t="n">
        <f aca="false">$E61/12*L61*IF(AND($J61=1,X$5&gt;=Assumptions!$B$18),1+Assumptions!$B$17,1)</f>
        <v>7833.33333333333</v>
      </c>
      <c r="Y61" s="40" t="n">
        <f aca="false">$E61/12*M61*IF(AND($J61=1,Y$5&gt;=Assumptions!$B$18),1+Assumptions!$B$17,1)</f>
        <v>7833.33333333333</v>
      </c>
      <c r="Z61" s="40" t="n">
        <f aca="false">$E61/12*N61*IF(AND($J61=1,Z$5&gt;=Assumptions!$B$18),1+Assumptions!$B$17,1)</f>
        <v>8107.5</v>
      </c>
      <c r="AA61" s="40" t="n">
        <f aca="false">$E61/12*O61*IF(AND($J61=1,AA$5&gt;=Assumptions!$B$18),1+Assumptions!$B$17,1)</f>
        <v>8107.5</v>
      </c>
      <c r="AB61" s="40" t="n">
        <f aca="false">$E61/12*P61*IF(AND($J61=1,AB$5&gt;=Assumptions!$B$18),1+Assumptions!$B$17,1)</f>
        <v>8107.5</v>
      </c>
      <c r="AC61" s="40" t="n">
        <f aca="false">$E61/12*Q61*IF(AND($J61=1,AC$5&gt;=Assumptions!$B$18),1+Assumptions!$B$17,1)</f>
        <v>8107.5</v>
      </c>
      <c r="AD61" s="40" t="n">
        <f aca="false">$E61/12*R61*IF(AND($J61=1,AD$5&gt;=Assumptions!$B$18),1+Assumptions!$B$17,1)</f>
        <v>8107.5</v>
      </c>
      <c r="AE61" s="40" t="n">
        <f aca="false">$E61/12*S61*IF(AND($J61=1,AE$5&gt;=Assumptions!$B$18),1+Assumptions!$B$17,1)</f>
        <v>8107.5</v>
      </c>
      <c r="AF61" s="40" t="n">
        <f aca="false">$E61/12*T61*IF(AND($J61=1,AF$5&gt;=Assumptions!$B$18),1+Assumptions!$B$17,1)</f>
        <v>8107.5</v>
      </c>
      <c r="AG61" s="40" t="n">
        <f aca="false">$E61/12*U61*IF(AND($J61=1,AG$5&gt;=Assumptions!$B$18),1+Assumptions!$B$17,1)</f>
        <v>8107.5</v>
      </c>
      <c r="AH61" s="40" t="n">
        <f aca="false">$E61/12*V61*IF(AND($J61=1,AH$5&gt;=Assumptions!$B$18),1+Assumptions!$B$17,1)</f>
        <v>8107.5</v>
      </c>
    </row>
    <row r="62" customFormat="false" ht="15" hidden="false" customHeight="true" outlineLevel="0" collapsed="false">
      <c r="A62" s="13" t="str">
        <f aca="false">Roster!A62</f>
        <v>GNA-105</v>
      </c>
      <c r="B62" s="13" t="str">
        <f aca="false">Roster!B62</f>
        <v>G&amp;A</v>
      </c>
      <c r="C62" s="13" t="str">
        <f aca="false">Roster!E62</f>
        <v>Existing</v>
      </c>
      <c r="D62" s="34" t="n">
        <f aca="false">Roster!D62</f>
        <v>3</v>
      </c>
      <c r="E62" s="35" t="n">
        <f aca="false">Roster!F62</f>
        <v>116500</v>
      </c>
      <c r="F62" s="36" t="n">
        <f aca="false">IF(Roster!E62="Open role",MAX(Assumptions!$B$14,EDATE(Roster!G62,IF(Roster!I62=2,Assumptions!$F$10,0)-Assumptions!$F$9)),Roster!G62)</f>
        <v>45689</v>
      </c>
      <c r="G62" s="36" t="n">
        <f aca="false">IF(Roster!H62="",DATE(2099,12,31),Roster!H62)</f>
        <v>73050</v>
      </c>
      <c r="H62" s="37" t="n">
        <f aca="false">IF(Roster!E62="Existing",1,IF(Roster!I62&lt;=Assumptions!$F$8,1,0))</f>
        <v>1</v>
      </c>
      <c r="I62" s="38" t="n">
        <f aca="false">IF(B62="Sales",Assumptions!$B$23,VLOOKUP(D62,Assumptions!$A$27:$B$31,2,FALSE()))</f>
        <v>0.1</v>
      </c>
      <c r="J62" s="37" t="n">
        <f aca="false">IF(F62&lt;Assumptions!$B$14,1,0)</f>
        <v>1</v>
      </c>
      <c r="K62" s="39" t="n">
        <f aca="false">IF($H62=1,MAX(0,MIN($G62,EOMONTH(K$5,0))-MAX($F62,K$5)+1)/DAY(EOMONTH(K$5,0)),0)</f>
        <v>1</v>
      </c>
      <c r="L62" s="39" t="n">
        <f aca="false">IF($H62=1,MAX(0,MIN($G62,EOMONTH(L$5,0))-MAX($F62,L$5)+1)/DAY(EOMONTH(L$5,0)),0)</f>
        <v>1</v>
      </c>
      <c r="M62" s="39" t="n">
        <f aca="false">IF($H62=1,MAX(0,MIN($G62,EOMONTH(M$5,0))-MAX($F62,M$5)+1)/DAY(EOMONTH(M$5,0)),0)</f>
        <v>1</v>
      </c>
      <c r="N62" s="39" t="n">
        <f aca="false">IF($H62=1,MAX(0,MIN($G62,EOMONTH(N$5,0))-MAX($F62,N$5)+1)/DAY(EOMONTH(N$5,0)),0)</f>
        <v>1</v>
      </c>
      <c r="O62" s="39" t="n">
        <f aca="false">IF($H62=1,MAX(0,MIN($G62,EOMONTH(O$5,0))-MAX($F62,O$5)+1)/DAY(EOMONTH(O$5,0)),0)</f>
        <v>1</v>
      </c>
      <c r="P62" s="39" t="n">
        <f aca="false">IF($H62=1,MAX(0,MIN($G62,EOMONTH(P$5,0))-MAX($F62,P$5)+1)/DAY(EOMONTH(P$5,0)),0)</f>
        <v>1</v>
      </c>
      <c r="Q62" s="39" t="n">
        <f aca="false">IF($H62=1,MAX(0,MIN($G62,EOMONTH(Q$5,0))-MAX($F62,Q$5)+1)/DAY(EOMONTH(Q$5,0)),0)</f>
        <v>1</v>
      </c>
      <c r="R62" s="39" t="n">
        <f aca="false">IF($H62=1,MAX(0,MIN($G62,EOMONTH(R$5,0))-MAX($F62,R$5)+1)/DAY(EOMONTH(R$5,0)),0)</f>
        <v>1</v>
      </c>
      <c r="S62" s="39" t="n">
        <f aca="false">IF($H62=1,MAX(0,MIN($G62,EOMONTH(S$5,0))-MAX($F62,S$5)+1)/DAY(EOMONTH(S$5,0)),0)</f>
        <v>1</v>
      </c>
      <c r="T62" s="39" t="n">
        <f aca="false">IF($H62=1,MAX(0,MIN($G62,EOMONTH(T$5,0))-MAX($F62,T$5)+1)/DAY(EOMONTH(T$5,0)),0)</f>
        <v>1</v>
      </c>
      <c r="U62" s="39" t="n">
        <f aca="false">IF($H62=1,MAX(0,MIN($G62,EOMONTH(U$5,0))-MAX($F62,U$5)+1)/DAY(EOMONTH(U$5,0)),0)</f>
        <v>1</v>
      </c>
      <c r="V62" s="39" t="n">
        <f aca="false">IF($H62=1,MAX(0,MIN($G62,EOMONTH(V$5,0))-MAX($F62,V$5)+1)/DAY(EOMONTH(V$5,0)),0)</f>
        <v>1</v>
      </c>
      <c r="W62" s="40" t="n">
        <f aca="false">$E62/12*K62*IF(AND($J62=1,W$5&gt;=Assumptions!$B$18),1+Assumptions!$B$17,1)</f>
        <v>9708.33333333333</v>
      </c>
      <c r="X62" s="40" t="n">
        <f aca="false">$E62/12*L62*IF(AND($J62=1,X$5&gt;=Assumptions!$B$18),1+Assumptions!$B$17,1)</f>
        <v>9708.33333333333</v>
      </c>
      <c r="Y62" s="40" t="n">
        <f aca="false">$E62/12*M62*IF(AND($J62=1,Y$5&gt;=Assumptions!$B$18),1+Assumptions!$B$17,1)</f>
        <v>9708.33333333333</v>
      </c>
      <c r="Z62" s="40" t="n">
        <f aca="false">$E62/12*N62*IF(AND($J62=1,Z$5&gt;=Assumptions!$B$18),1+Assumptions!$B$17,1)</f>
        <v>10048.125</v>
      </c>
      <c r="AA62" s="40" t="n">
        <f aca="false">$E62/12*O62*IF(AND($J62=1,AA$5&gt;=Assumptions!$B$18),1+Assumptions!$B$17,1)</f>
        <v>10048.125</v>
      </c>
      <c r="AB62" s="40" t="n">
        <f aca="false">$E62/12*P62*IF(AND($J62=1,AB$5&gt;=Assumptions!$B$18),1+Assumptions!$B$17,1)</f>
        <v>10048.125</v>
      </c>
      <c r="AC62" s="40" t="n">
        <f aca="false">$E62/12*Q62*IF(AND($J62=1,AC$5&gt;=Assumptions!$B$18),1+Assumptions!$B$17,1)</f>
        <v>10048.125</v>
      </c>
      <c r="AD62" s="40" t="n">
        <f aca="false">$E62/12*R62*IF(AND($J62=1,AD$5&gt;=Assumptions!$B$18),1+Assumptions!$B$17,1)</f>
        <v>10048.125</v>
      </c>
      <c r="AE62" s="40" t="n">
        <f aca="false">$E62/12*S62*IF(AND($J62=1,AE$5&gt;=Assumptions!$B$18),1+Assumptions!$B$17,1)</f>
        <v>10048.125</v>
      </c>
      <c r="AF62" s="40" t="n">
        <f aca="false">$E62/12*T62*IF(AND($J62=1,AF$5&gt;=Assumptions!$B$18),1+Assumptions!$B$17,1)</f>
        <v>10048.125</v>
      </c>
      <c r="AG62" s="40" t="n">
        <f aca="false">$E62/12*U62*IF(AND($J62=1,AG$5&gt;=Assumptions!$B$18),1+Assumptions!$B$17,1)</f>
        <v>10048.125</v>
      </c>
      <c r="AH62" s="40" t="n">
        <f aca="false">$E62/12*V62*IF(AND($J62=1,AH$5&gt;=Assumptions!$B$18),1+Assumptions!$B$17,1)</f>
        <v>10048.125</v>
      </c>
    </row>
    <row r="63" customFormat="false" ht="15" hidden="false" customHeight="true" outlineLevel="0" collapsed="false">
      <c r="A63" s="13" t="str">
        <f aca="false">Roster!A63</f>
        <v>GNA-106</v>
      </c>
      <c r="B63" s="13" t="str">
        <f aca="false">Roster!B63</f>
        <v>G&amp;A</v>
      </c>
      <c r="C63" s="13" t="str">
        <f aca="false">Roster!E63</f>
        <v>Existing</v>
      </c>
      <c r="D63" s="34" t="n">
        <f aca="false">Roster!D63</f>
        <v>3</v>
      </c>
      <c r="E63" s="35" t="n">
        <f aca="false">Roster!F63</f>
        <v>123000</v>
      </c>
      <c r="F63" s="36" t="n">
        <f aca="false">IF(Roster!E63="Open role",MAX(Assumptions!$B$14,EDATE(Roster!G63,IF(Roster!I63=2,Assumptions!$F$10,0)-Assumptions!$F$9)),Roster!G63)</f>
        <v>44013</v>
      </c>
      <c r="G63" s="36" t="n">
        <f aca="false">IF(Roster!H63="",DATE(2099,12,31),Roster!H63)</f>
        <v>73050</v>
      </c>
      <c r="H63" s="37" t="n">
        <f aca="false">IF(Roster!E63="Existing",1,IF(Roster!I63&lt;=Assumptions!$F$8,1,0))</f>
        <v>1</v>
      </c>
      <c r="I63" s="38" t="n">
        <f aca="false">IF(B63="Sales",Assumptions!$B$23,VLOOKUP(D63,Assumptions!$A$27:$B$31,2,FALSE()))</f>
        <v>0.1</v>
      </c>
      <c r="J63" s="37" t="n">
        <f aca="false">IF(F63&lt;Assumptions!$B$14,1,0)</f>
        <v>1</v>
      </c>
      <c r="K63" s="39" t="n">
        <f aca="false">IF($H63=1,MAX(0,MIN($G63,EOMONTH(K$5,0))-MAX($F63,K$5)+1)/DAY(EOMONTH(K$5,0)),0)</f>
        <v>1</v>
      </c>
      <c r="L63" s="39" t="n">
        <f aca="false">IF($H63=1,MAX(0,MIN($G63,EOMONTH(L$5,0))-MAX($F63,L$5)+1)/DAY(EOMONTH(L$5,0)),0)</f>
        <v>1</v>
      </c>
      <c r="M63" s="39" t="n">
        <f aca="false">IF($H63=1,MAX(0,MIN($G63,EOMONTH(M$5,0))-MAX($F63,M$5)+1)/DAY(EOMONTH(M$5,0)),0)</f>
        <v>1</v>
      </c>
      <c r="N63" s="39" t="n">
        <f aca="false">IF($H63=1,MAX(0,MIN($G63,EOMONTH(N$5,0))-MAX($F63,N$5)+1)/DAY(EOMONTH(N$5,0)),0)</f>
        <v>1</v>
      </c>
      <c r="O63" s="39" t="n">
        <f aca="false">IF($H63=1,MAX(0,MIN($G63,EOMONTH(O$5,0))-MAX($F63,O$5)+1)/DAY(EOMONTH(O$5,0)),0)</f>
        <v>1</v>
      </c>
      <c r="P63" s="39" t="n">
        <f aca="false">IF($H63=1,MAX(0,MIN($G63,EOMONTH(P$5,0))-MAX($F63,P$5)+1)/DAY(EOMONTH(P$5,0)),0)</f>
        <v>1</v>
      </c>
      <c r="Q63" s="39" t="n">
        <f aca="false">IF($H63=1,MAX(0,MIN($G63,EOMONTH(Q$5,0))-MAX($F63,Q$5)+1)/DAY(EOMONTH(Q$5,0)),0)</f>
        <v>1</v>
      </c>
      <c r="R63" s="39" t="n">
        <f aca="false">IF($H63=1,MAX(0,MIN($G63,EOMONTH(R$5,0))-MAX($F63,R$5)+1)/DAY(EOMONTH(R$5,0)),0)</f>
        <v>1</v>
      </c>
      <c r="S63" s="39" t="n">
        <f aca="false">IF($H63=1,MAX(0,MIN($G63,EOMONTH(S$5,0))-MAX($F63,S$5)+1)/DAY(EOMONTH(S$5,0)),0)</f>
        <v>1</v>
      </c>
      <c r="T63" s="39" t="n">
        <f aca="false">IF($H63=1,MAX(0,MIN($G63,EOMONTH(T$5,0))-MAX($F63,T$5)+1)/DAY(EOMONTH(T$5,0)),0)</f>
        <v>1</v>
      </c>
      <c r="U63" s="39" t="n">
        <f aca="false">IF($H63=1,MAX(0,MIN($G63,EOMONTH(U$5,0))-MAX($F63,U$5)+1)/DAY(EOMONTH(U$5,0)),0)</f>
        <v>1</v>
      </c>
      <c r="V63" s="39" t="n">
        <f aca="false">IF($H63=1,MAX(0,MIN($G63,EOMONTH(V$5,0))-MAX($F63,V$5)+1)/DAY(EOMONTH(V$5,0)),0)</f>
        <v>1</v>
      </c>
      <c r="W63" s="40" t="n">
        <f aca="false">$E63/12*K63*IF(AND($J63=1,W$5&gt;=Assumptions!$B$18),1+Assumptions!$B$17,1)</f>
        <v>10250</v>
      </c>
      <c r="X63" s="40" t="n">
        <f aca="false">$E63/12*L63*IF(AND($J63=1,X$5&gt;=Assumptions!$B$18),1+Assumptions!$B$17,1)</f>
        <v>10250</v>
      </c>
      <c r="Y63" s="40" t="n">
        <f aca="false">$E63/12*M63*IF(AND($J63=1,Y$5&gt;=Assumptions!$B$18),1+Assumptions!$B$17,1)</f>
        <v>10250</v>
      </c>
      <c r="Z63" s="40" t="n">
        <f aca="false">$E63/12*N63*IF(AND($J63=1,Z$5&gt;=Assumptions!$B$18),1+Assumptions!$B$17,1)</f>
        <v>10608.75</v>
      </c>
      <c r="AA63" s="40" t="n">
        <f aca="false">$E63/12*O63*IF(AND($J63=1,AA$5&gt;=Assumptions!$B$18),1+Assumptions!$B$17,1)</f>
        <v>10608.75</v>
      </c>
      <c r="AB63" s="40" t="n">
        <f aca="false">$E63/12*P63*IF(AND($J63=1,AB$5&gt;=Assumptions!$B$18),1+Assumptions!$B$17,1)</f>
        <v>10608.75</v>
      </c>
      <c r="AC63" s="40" t="n">
        <f aca="false">$E63/12*Q63*IF(AND($J63=1,AC$5&gt;=Assumptions!$B$18),1+Assumptions!$B$17,1)</f>
        <v>10608.75</v>
      </c>
      <c r="AD63" s="40" t="n">
        <f aca="false">$E63/12*R63*IF(AND($J63=1,AD$5&gt;=Assumptions!$B$18),1+Assumptions!$B$17,1)</f>
        <v>10608.75</v>
      </c>
      <c r="AE63" s="40" t="n">
        <f aca="false">$E63/12*S63*IF(AND($J63=1,AE$5&gt;=Assumptions!$B$18),1+Assumptions!$B$17,1)</f>
        <v>10608.75</v>
      </c>
      <c r="AF63" s="40" t="n">
        <f aca="false">$E63/12*T63*IF(AND($J63=1,AF$5&gt;=Assumptions!$B$18),1+Assumptions!$B$17,1)</f>
        <v>10608.75</v>
      </c>
      <c r="AG63" s="40" t="n">
        <f aca="false">$E63/12*U63*IF(AND($J63=1,AG$5&gt;=Assumptions!$B$18),1+Assumptions!$B$17,1)</f>
        <v>10608.75</v>
      </c>
      <c r="AH63" s="40" t="n">
        <f aca="false">$E63/12*V63*IF(AND($J63=1,AH$5&gt;=Assumptions!$B$18),1+Assumptions!$B$17,1)</f>
        <v>10608.75</v>
      </c>
    </row>
    <row r="64" customFormat="false" ht="15" hidden="false" customHeight="true" outlineLevel="0" collapsed="false">
      <c r="A64" s="13" t="str">
        <f aca="false">Roster!A64</f>
        <v>GNA-107</v>
      </c>
      <c r="B64" s="13" t="str">
        <f aca="false">Roster!B64</f>
        <v>G&amp;A</v>
      </c>
      <c r="C64" s="13" t="str">
        <f aca="false">Roster!E64</f>
        <v>Existing</v>
      </c>
      <c r="D64" s="34" t="n">
        <f aca="false">Roster!D64</f>
        <v>4</v>
      </c>
      <c r="E64" s="35" t="n">
        <f aca="false">Roster!F64</f>
        <v>155000</v>
      </c>
      <c r="F64" s="36" t="n">
        <f aca="false">IF(Roster!E64="Open role",MAX(Assumptions!$B$14,EDATE(Roster!G64,IF(Roster!I64=2,Assumptions!$F$10,0)-Assumptions!$F$9)),Roster!G64)</f>
        <v>45261</v>
      </c>
      <c r="G64" s="36" t="n">
        <f aca="false">IF(Roster!H64="",DATE(2099,12,31),Roster!H64)</f>
        <v>73050</v>
      </c>
      <c r="H64" s="37" t="n">
        <f aca="false">IF(Roster!E64="Existing",1,IF(Roster!I64&lt;=Assumptions!$F$8,1,0))</f>
        <v>1</v>
      </c>
      <c r="I64" s="38" t="n">
        <f aca="false">IF(B64="Sales",Assumptions!$B$23,VLOOKUP(D64,Assumptions!$A$27:$B$31,2,FALSE()))</f>
        <v>0.15</v>
      </c>
      <c r="J64" s="37" t="n">
        <f aca="false">IF(F64&lt;Assumptions!$B$14,1,0)</f>
        <v>1</v>
      </c>
      <c r="K64" s="39" t="n">
        <f aca="false">IF($H64=1,MAX(0,MIN($G64,EOMONTH(K$5,0))-MAX($F64,K$5)+1)/DAY(EOMONTH(K$5,0)),0)</f>
        <v>1</v>
      </c>
      <c r="L64" s="39" t="n">
        <f aca="false">IF($H64=1,MAX(0,MIN($G64,EOMONTH(L$5,0))-MAX($F64,L$5)+1)/DAY(EOMONTH(L$5,0)),0)</f>
        <v>1</v>
      </c>
      <c r="M64" s="39" t="n">
        <f aca="false">IF($H64=1,MAX(0,MIN($G64,EOMONTH(M$5,0))-MAX($F64,M$5)+1)/DAY(EOMONTH(M$5,0)),0)</f>
        <v>1</v>
      </c>
      <c r="N64" s="39" t="n">
        <f aca="false">IF($H64=1,MAX(0,MIN($G64,EOMONTH(N$5,0))-MAX($F64,N$5)+1)/DAY(EOMONTH(N$5,0)),0)</f>
        <v>1</v>
      </c>
      <c r="O64" s="39" t="n">
        <f aca="false">IF($H64=1,MAX(0,MIN($G64,EOMONTH(O$5,0))-MAX($F64,O$5)+1)/DAY(EOMONTH(O$5,0)),0)</f>
        <v>1</v>
      </c>
      <c r="P64" s="39" t="n">
        <f aca="false">IF($H64=1,MAX(0,MIN($G64,EOMONTH(P$5,0))-MAX($F64,P$5)+1)/DAY(EOMONTH(P$5,0)),0)</f>
        <v>1</v>
      </c>
      <c r="Q64" s="39" t="n">
        <f aca="false">IF($H64=1,MAX(0,MIN($G64,EOMONTH(Q$5,0))-MAX($F64,Q$5)+1)/DAY(EOMONTH(Q$5,0)),0)</f>
        <v>1</v>
      </c>
      <c r="R64" s="39" t="n">
        <f aca="false">IF($H64=1,MAX(0,MIN($G64,EOMONTH(R$5,0))-MAX($F64,R$5)+1)/DAY(EOMONTH(R$5,0)),0)</f>
        <v>1</v>
      </c>
      <c r="S64" s="39" t="n">
        <f aca="false">IF($H64=1,MAX(0,MIN($G64,EOMONTH(S$5,0))-MAX($F64,S$5)+1)/DAY(EOMONTH(S$5,0)),0)</f>
        <v>1</v>
      </c>
      <c r="T64" s="39" t="n">
        <f aca="false">IF($H64=1,MAX(0,MIN($G64,EOMONTH(T$5,0))-MAX($F64,T$5)+1)/DAY(EOMONTH(T$5,0)),0)</f>
        <v>1</v>
      </c>
      <c r="U64" s="39" t="n">
        <f aca="false">IF($H64=1,MAX(0,MIN($G64,EOMONTH(U$5,0))-MAX($F64,U$5)+1)/DAY(EOMONTH(U$5,0)),0)</f>
        <v>1</v>
      </c>
      <c r="V64" s="39" t="n">
        <f aca="false">IF($H64=1,MAX(0,MIN($G64,EOMONTH(V$5,0))-MAX($F64,V$5)+1)/DAY(EOMONTH(V$5,0)),0)</f>
        <v>1</v>
      </c>
      <c r="W64" s="40" t="n">
        <f aca="false">$E64/12*K64*IF(AND($J64=1,W$5&gt;=Assumptions!$B$18),1+Assumptions!$B$17,1)</f>
        <v>12916.6666666667</v>
      </c>
      <c r="X64" s="40" t="n">
        <f aca="false">$E64/12*L64*IF(AND($J64=1,X$5&gt;=Assumptions!$B$18),1+Assumptions!$B$17,1)</f>
        <v>12916.6666666667</v>
      </c>
      <c r="Y64" s="40" t="n">
        <f aca="false">$E64/12*M64*IF(AND($J64=1,Y$5&gt;=Assumptions!$B$18),1+Assumptions!$B$17,1)</f>
        <v>12916.6666666667</v>
      </c>
      <c r="Z64" s="40" t="n">
        <f aca="false">$E64/12*N64*IF(AND($J64=1,Z$5&gt;=Assumptions!$B$18),1+Assumptions!$B$17,1)</f>
        <v>13368.75</v>
      </c>
      <c r="AA64" s="40" t="n">
        <f aca="false">$E64/12*O64*IF(AND($J64=1,AA$5&gt;=Assumptions!$B$18),1+Assumptions!$B$17,1)</f>
        <v>13368.75</v>
      </c>
      <c r="AB64" s="40" t="n">
        <f aca="false">$E64/12*P64*IF(AND($J64=1,AB$5&gt;=Assumptions!$B$18),1+Assumptions!$B$17,1)</f>
        <v>13368.75</v>
      </c>
      <c r="AC64" s="40" t="n">
        <f aca="false">$E64/12*Q64*IF(AND($J64=1,AC$5&gt;=Assumptions!$B$18),1+Assumptions!$B$17,1)</f>
        <v>13368.75</v>
      </c>
      <c r="AD64" s="40" t="n">
        <f aca="false">$E64/12*R64*IF(AND($J64=1,AD$5&gt;=Assumptions!$B$18),1+Assumptions!$B$17,1)</f>
        <v>13368.75</v>
      </c>
      <c r="AE64" s="40" t="n">
        <f aca="false">$E64/12*S64*IF(AND($J64=1,AE$5&gt;=Assumptions!$B$18),1+Assumptions!$B$17,1)</f>
        <v>13368.75</v>
      </c>
      <c r="AF64" s="40" t="n">
        <f aca="false">$E64/12*T64*IF(AND($J64=1,AF$5&gt;=Assumptions!$B$18),1+Assumptions!$B$17,1)</f>
        <v>13368.75</v>
      </c>
      <c r="AG64" s="40" t="n">
        <f aca="false">$E64/12*U64*IF(AND($J64=1,AG$5&gt;=Assumptions!$B$18),1+Assumptions!$B$17,1)</f>
        <v>13368.75</v>
      </c>
      <c r="AH64" s="40" t="n">
        <f aca="false">$E64/12*V64*IF(AND($J64=1,AH$5&gt;=Assumptions!$B$18),1+Assumptions!$B$17,1)</f>
        <v>13368.75</v>
      </c>
    </row>
    <row r="65" customFormat="false" ht="15" hidden="false" customHeight="true" outlineLevel="0" collapsed="false">
      <c r="A65" s="13" t="str">
        <f aca="false">Roster!A65</f>
        <v>GNA-108</v>
      </c>
      <c r="B65" s="13" t="str">
        <f aca="false">Roster!B65</f>
        <v>G&amp;A</v>
      </c>
      <c r="C65" s="13" t="str">
        <f aca="false">Roster!E65</f>
        <v>Existing</v>
      </c>
      <c r="D65" s="34" t="n">
        <f aca="false">Roster!D65</f>
        <v>5</v>
      </c>
      <c r="E65" s="35" t="n">
        <f aca="false">Roster!F65</f>
        <v>215500</v>
      </c>
      <c r="F65" s="36" t="n">
        <f aca="false">IF(Roster!E65="Open role",MAX(Assumptions!$B$14,EDATE(Roster!G65,IF(Roster!I65=2,Assumptions!$F$10,0)-Assumptions!$F$9)),Roster!G65)</f>
        <v>46143</v>
      </c>
      <c r="G65" s="36" t="n">
        <f aca="false">IF(Roster!H65="",DATE(2099,12,31),Roster!H65)</f>
        <v>73050</v>
      </c>
      <c r="H65" s="37" t="n">
        <f aca="false">IF(Roster!E65="Existing",1,IF(Roster!I65&lt;=Assumptions!$F$8,1,0))</f>
        <v>1</v>
      </c>
      <c r="I65" s="38" t="n">
        <f aca="false">IF(B65="Sales",Assumptions!$B$23,VLOOKUP(D65,Assumptions!$A$27:$B$31,2,FALSE()))</f>
        <v>0.2</v>
      </c>
      <c r="J65" s="37" t="n">
        <f aca="false">IF(F65&lt;Assumptions!$B$14,1,0)</f>
        <v>1</v>
      </c>
      <c r="K65" s="39" t="n">
        <f aca="false">IF($H65=1,MAX(0,MIN($G65,EOMONTH(K$5,0))-MAX($F65,K$5)+1)/DAY(EOMONTH(K$5,0)),0)</f>
        <v>1</v>
      </c>
      <c r="L65" s="39" t="n">
        <f aca="false">IF($H65=1,MAX(0,MIN($G65,EOMONTH(L$5,0))-MAX($F65,L$5)+1)/DAY(EOMONTH(L$5,0)),0)</f>
        <v>1</v>
      </c>
      <c r="M65" s="39" t="n">
        <f aca="false">IF($H65=1,MAX(0,MIN($G65,EOMONTH(M$5,0))-MAX($F65,M$5)+1)/DAY(EOMONTH(M$5,0)),0)</f>
        <v>1</v>
      </c>
      <c r="N65" s="39" t="n">
        <f aca="false">IF($H65=1,MAX(0,MIN($G65,EOMONTH(N$5,0))-MAX($F65,N$5)+1)/DAY(EOMONTH(N$5,0)),0)</f>
        <v>1</v>
      </c>
      <c r="O65" s="39" t="n">
        <f aca="false">IF($H65=1,MAX(0,MIN($G65,EOMONTH(O$5,0))-MAX($F65,O$5)+1)/DAY(EOMONTH(O$5,0)),0)</f>
        <v>1</v>
      </c>
      <c r="P65" s="39" t="n">
        <f aca="false">IF($H65=1,MAX(0,MIN($G65,EOMONTH(P$5,0))-MAX($F65,P$5)+1)/DAY(EOMONTH(P$5,0)),0)</f>
        <v>1</v>
      </c>
      <c r="Q65" s="39" t="n">
        <f aca="false">IF($H65=1,MAX(0,MIN($G65,EOMONTH(Q$5,0))-MAX($F65,Q$5)+1)/DAY(EOMONTH(Q$5,0)),0)</f>
        <v>1</v>
      </c>
      <c r="R65" s="39" t="n">
        <f aca="false">IF($H65=1,MAX(0,MIN($G65,EOMONTH(R$5,0))-MAX($F65,R$5)+1)/DAY(EOMONTH(R$5,0)),0)</f>
        <v>1</v>
      </c>
      <c r="S65" s="39" t="n">
        <f aca="false">IF($H65=1,MAX(0,MIN($G65,EOMONTH(S$5,0))-MAX($F65,S$5)+1)/DAY(EOMONTH(S$5,0)),0)</f>
        <v>1</v>
      </c>
      <c r="T65" s="39" t="n">
        <f aca="false">IF($H65=1,MAX(0,MIN($G65,EOMONTH(T$5,0))-MAX($F65,T$5)+1)/DAY(EOMONTH(T$5,0)),0)</f>
        <v>1</v>
      </c>
      <c r="U65" s="39" t="n">
        <f aca="false">IF($H65=1,MAX(0,MIN($G65,EOMONTH(U$5,0))-MAX($F65,U$5)+1)/DAY(EOMONTH(U$5,0)),0)</f>
        <v>1</v>
      </c>
      <c r="V65" s="39" t="n">
        <f aca="false">IF($H65=1,MAX(0,MIN($G65,EOMONTH(V$5,0))-MAX($F65,V$5)+1)/DAY(EOMONTH(V$5,0)),0)</f>
        <v>1</v>
      </c>
      <c r="W65" s="40" t="n">
        <f aca="false">$E65/12*K65*IF(AND($J65=1,W$5&gt;=Assumptions!$B$18),1+Assumptions!$B$17,1)</f>
        <v>17958.3333333333</v>
      </c>
      <c r="X65" s="40" t="n">
        <f aca="false">$E65/12*L65*IF(AND($J65=1,X$5&gt;=Assumptions!$B$18),1+Assumptions!$B$17,1)</f>
        <v>17958.3333333333</v>
      </c>
      <c r="Y65" s="40" t="n">
        <f aca="false">$E65/12*M65*IF(AND($J65=1,Y$5&gt;=Assumptions!$B$18),1+Assumptions!$B$17,1)</f>
        <v>17958.3333333333</v>
      </c>
      <c r="Z65" s="40" t="n">
        <f aca="false">$E65/12*N65*IF(AND($J65=1,Z$5&gt;=Assumptions!$B$18),1+Assumptions!$B$17,1)</f>
        <v>18586.875</v>
      </c>
      <c r="AA65" s="40" t="n">
        <f aca="false">$E65/12*O65*IF(AND($J65=1,AA$5&gt;=Assumptions!$B$18),1+Assumptions!$B$17,1)</f>
        <v>18586.875</v>
      </c>
      <c r="AB65" s="40" t="n">
        <f aca="false">$E65/12*P65*IF(AND($J65=1,AB$5&gt;=Assumptions!$B$18),1+Assumptions!$B$17,1)</f>
        <v>18586.875</v>
      </c>
      <c r="AC65" s="40" t="n">
        <f aca="false">$E65/12*Q65*IF(AND($J65=1,AC$5&gt;=Assumptions!$B$18),1+Assumptions!$B$17,1)</f>
        <v>18586.875</v>
      </c>
      <c r="AD65" s="40" t="n">
        <f aca="false">$E65/12*R65*IF(AND($J65=1,AD$5&gt;=Assumptions!$B$18),1+Assumptions!$B$17,1)</f>
        <v>18586.875</v>
      </c>
      <c r="AE65" s="40" t="n">
        <f aca="false">$E65/12*S65*IF(AND($J65=1,AE$5&gt;=Assumptions!$B$18),1+Assumptions!$B$17,1)</f>
        <v>18586.875</v>
      </c>
      <c r="AF65" s="40" t="n">
        <f aca="false">$E65/12*T65*IF(AND($J65=1,AF$5&gt;=Assumptions!$B$18),1+Assumptions!$B$17,1)</f>
        <v>18586.875</v>
      </c>
      <c r="AG65" s="40" t="n">
        <f aca="false">$E65/12*U65*IF(AND($J65=1,AG$5&gt;=Assumptions!$B$18),1+Assumptions!$B$17,1)</f>
        <v>18586.875</v>
      </c>
      <c r="AH65" s="40" t="n">
        <f aca="false">$E65/12*V65*IF(AND($J65=1,AH$5&gt;=Assumptions!$B$18),1+Assumptions!$B$17,1)</f>
        <v>18586.875</v>
      </c>
    </row>
    <row r="66" customFormat="false" ht="15" hidden="false" customHeight="true" outlineLevel="0" collapsed="false">
      <c r="A66" s="13" t="str">
        <f aca="false">Roster!A66</f>
        <v>TBH-ENG-01</v>
      </c>
      <c r="B66" s="13" t="str">
        <f aca="false">Roster!B66</f>
        <v>Engineering</v>
      </c>
      <c r="C66" s="13" t="str">
        <f aca="false">Roster!E66</f>
        <v>Open role</v>
      </c>
      <c r="D66" s="34" t="n">
        <f aca="false">Roster!D66</f>
        <v>2</v>
      </c>
      <c r="E66" s="35" t="n">
        <f aca="false">Roster!F66</f>
        <v>108000</v>
      </c>
      <c r="F66" s="36" t="n">
        <f aca="false">IF(Roster!E66="Open role",MAX(Assumptions!$B$14,EDATE(Roster!G66,IF(Roster!I66=2,Assumptions!$F$10,0)-Assumptions!$F$9)),Roster!G66)</f>
        <v>46419</v>
      </c>
      <c r="G66" s="36" t="n">
        <f aca="false">IF(Roster!H66="",DATE(2099,12,31),Roster!H66)</f>
        <v>73050</v>
      </c>
      <c r="H66" s="37" t="n">
        <f aca="false">IF(Roster!E66="Existing",1,IF(Roster!I66&lt;=Assumptions!$F$8,1,0))</f>
        <v>1</v>
      </c>
      <c r="I66" s="38" t="n">
        <f aca="false">IF(B66="Sales",Assumptions!$B$23,VLOOKUP(D66,Assumptions!$A$27:$B$31,2,FALSE()))</f>
        <v>0.08</v>
      </c>
      <c r="J66" s="37" t="n">
        <f aca="false">IF(F66&lt;Assumptions!$B$14,1,0)</f>
        <v>0</v>
      </c>
      <c r="K66" s="39" t="n">
        <f aca="false">IF($H66=1,MAX(0,MIN($G66,EOMONTH(K$5,0))-MAX($F66,K$5)+1)/DAY(EOMONTH(K$5,0)),0)</f>
        <v>0</v>
      </c>
      <c r="L66" s="39" t="n">
        <f aca="false">IF($H66=1,MAX(0,MIN($G66,EOMONTH(L$5,0))-MAX($F66,L$5)+1)/DAY(EOMONTH(L$5,0)),0)</f>
        <v>1</v>
      </c>
      <c r="M66" s="39" t="n">
        <f aca="false">IF($H66=1,MAX(0,MIN($G66,EOMONTH(M$5,0))-MAX($F66,M$5)+1)/DAY(EOMONTH(M$5,0)),0)</f>
        <v>1</v>
      </c>
      <c r="N66" s="39" t="n">
        <f aca="false">IF($H66=1,MAX(0,MIN($G66,EOMONTH(N$5,0))-MAX($F66,N$5)+1)/DAY(EOMONTH(N$5,0)),0)</f>
        <v>1</v>
      </c>
      <c r="O66" s="39" t="n">
        <f aca="false">IF($H66=1,MAX(0,MIN($G66,EOMONTH(O$5,0))-MAX($F66,O$5)+1)/DAY(EOMONTH(O$5,0)),0)</f>
        <v>1</v>
      </c>
      <c r="P66" s="39" t="n">
        <f aca="false">IF($H66=1,MAX(0,MIN($G66,EOMONTH(P$5,0))-MAX($F66,P$5)+1)/DAY(EOMONTH(P$5,0)),0)</f>
        <v>1</v>
      </c>
      <c r="Q66" s="39" t="n">
        <f aca="false">IF($H66=1,MAX(0,MIN($G66,EOMONTH(Q$5,0))-MAX($F66,Q$5)+1)/DAY(EOMONTH(Q$5,0)),0)</f>
        <v>1</v>
      </c>
      <c r="R66" s="39" t="n">
        <f aca="false">IF($H66=1,MAX(0,MIN($G66,EOMONTH(R$5,0))-MAX($F66,R$5)+1)/DAY(EOMONTH(R$5,0)),0)</f>
        <v>1</v>
      </c>
      <c r="S66" s="39" t="n">
        <f aca="false">IF($H66=1,MAX(0,MIN($G66,EOMONTH(S$5,0))-MAX($F66,S$5)+1)/DAY(EOMONTH(S$5,0)),0)</f>
        <v>1</v>
      </c>
      <c r="T66" s="39" t="n">
        <f aca="false">IF($H66=1,MAX(0,MIN($G66,EOMONTH(T$5,0))-MAX($F66,T$5)+1)/DAY(EOMONTH(T$5,0)),0)</f>
        <v>1</v>
      </c>
      <c r="U66" s="39" t="n">
        <f aca="false">IF($H66=1,MAX(0,MIN($G66,EOMONTH(U$5,0))-MAX($F66,U$5)+1)/DAY(EOMONTH(U$5,0)),0)</f>
        <v>1</v>
      </c>
      <c r="V66" s="39" t="n">
        <f aca="false">IF($H66=1,MAX(0,MIN($G66,EOMONTH(V$5,0))-MAX($F66,V$5)+1)/DAY(EOMONTH(V$5,0)),0)</f>
        <v>1</v>
      </c>
      <c r="W66" s="40" t="n">
        <f aca="false">$E66/12*K66*IF(AND($J66=1,W$5&gt;=Assumptions!$B$18),1+Assumptions!$B$17,1)</f>
        <v>0</v>
      </c>
      <c r="X66" s="40" t="n">
        <f aca="false">$E66/12*L66*IF(AND($J66=1,X$5&gt;=Assumptions!$B$18),1+Assumptions!$B$17,1)</f>
        <v>9000</v>
      </c>
      <c r="Y66" s="40" t="n">
        <f aca="false">$E66/12*M66*IF(AND($J66=1,Y$5&gt;=Assumptions!$B$18),1+Assumptions!$B$17,1)</f>
        <v>9000</v>
      </c>
      <c r="Z66" s="40" t="n">
        <f aca="false">$E66/12*N66*IF(AND($J66=1,Z$5&gt;=Assumptions!$B$18),1+Assumptions!$B$17,1)</f>
        <v>9000</v>
      </c>
      <c r="AA66" s="40" t="n">
        <f aca="false">$E66/12*O66*IF(AND($J66=1,AA$5&gt;=Assumptions!$B$18),1+Assumptions!$B$17,1)</f>
        <v>9000</v>
      </c>
      <c r="AB66" s="40" t="n">
        <f aca="false">$E66/12*P66*IF(AND($J66=1,AB$5&gt;=Assumptions!$B$18),1+Assumptions!$B$17,1)</f>
        <v>9000</v>
      </c>
      <c r="AC66" s="40" t="n">
        <f aca="false">$E66/12*Q66*IF(AND($J66=1,AC$5&gt;=Assumptions!$B$18),1+Assumptions!$B$17,1)</f>
        <v>9000</v>
      </c>
      <c r="AD66" s="40" t="n">
        <f aca="false">$E66/12*R66*IF(AND($J66=1,AD$5&gt;=Assumptions!$B$18),1+Assumptions!$B$17,1)</f>
        <v>9000</v>
      </c>
      <c r="AE66" s="40" t="n">
        <f aca="false">$E66/12*S66*IF(AND($J66=1,AE$5&gt;=Assumptions!$B$18),1+Assumptions!$B$17,1)</f>
        <v>9000</v>
      </c>
      <c r="AF66" s="40" t="n">
        <f aca="false">$E66/12*T66*IF(AND($J66=1,AF$5&gt;=Assumptions!$B$18),1+Assumptions!$B$17,1)</f>
        <v>9000</v>
      </c>
      <c r="AG66" s="40" t="n">
        <f aca="false">$E66/12*U66*IF(AND($J66=1,AG$5&gt;=Assumptions!$B$18),1+Assumptions!$B$17,1)</f>
        <v>9000</v>
      </c>
      <c r="AH66" s="40" t="n">
        <f aca="false">$E66/12*V66*IF(AND($J66=1,AH$5&gt;=Assumptions!$B$18),1+Assumptions!$B$17,1)</f>
        <v>9000</v>
      </c>
    </row>
    <row r="67" customFormat="false" ht="15" hidden="false" customHeight="true" outlineLevel="0" collapsed="false">
      <c r="A67" s="13" t="str">
        <f aca="false">Roster!A67</f>
        <v>TBH-ENG-02</v>
      </c>
      <c r="B67" s="13" t="str">
        <f aca="false">Roster!B67</f>
        <v>Engineering</v>
      </c>
      <c r="C67" s="13" t="str">
        <f aca="false">Roster!E67</f>
        <v>Open role</v>
      </c>
      <c r="D67" s="34" t="n">
        <f aca="false">Roster!D67</f>
        <v>3</v>
      </c>
      <c r="E67" s="35" t="n">
        <f aca="false">Roster!F67</f>
        <v>151500</v>
      </c>
      <c r="F67" s="36" t="n">
        <f aca="false">IF(Roster!E67="Open role",MAX(Assumptions!$B$14,EDATE(Roster!G67,IF(Roster!I67=2,Assumptions!$F$10,0)-Assumptions!$F$9)),Roster!G67)</f>
        <v>46508</v>
      </c>
      <c r="G67" s="36" t="n">
        <f aca="false">IF(Roster!H67="",DATE(2099,12,31),Roster!H67)</f>
        <v>73050</v>
      </c>
      <c r="H67" s="37" t="n">
        <f aca="false">IF(Roster!E67="Existing",1,IF(Roster!I67&lt;=Assumptions!$F$8,1,0))</f>
        <v>1</v>
      </c>
      <c r="I67" s="38" t="n">
        <f aca="false">IF(B67="Sales",Assumptions!$B$23,VLOOKUP(D67,Assumptions!$A$27:$B$31,2,FALSE()))</f>
        <v>0.1</v>
      </c>
      <c r="J67" s="37" t="n">
        <f aca="false">IF(F67&lt;Assumptions!$B$14,1,0)</f>
        <v>0</v>
      </c>
      <c r="K67" s="39" t="n">
        <f aca="false">IF($H67=1,MAX(0,MIN($G67,EOMONTH(K$5,0))-MAX($F67,K$5)+1)/DAY(EOMONTH(K$5,0)),0)</f>
        <v>0</v>
      </c>
      <c r="L67" s="39" t="n">
        <f aca="false">IF($H67=1,MAX(0,MIN($G67,EOMONTH(L$5,0))-MAX($F67,L$5)+1)/DAY(EOMONTH(L$5,0)),0)</f>
        <v>0</v>
      </c>
      <c r="M67" s="39" t="n">
        <f aca="false">IF($H67=1,MAX(0,MIN($G67,EOMONTH(M$5,0))-MAX($F67,M$5)+1)/DAY(EOMONTH(M$5,0)),0)</f>
        <v>0</v>
      </c>
      <c r="N67" s="39" t="n">
        <f aca="false">IF($H67=1,MAX(0,MIN($G67,EOMONTH(N$5,0))-MAX($F67,N$5)+1)/DAY(EOMONTH(N$5,0)),0)</f>
        <v>0</v>
      </c>
      <c r="O67" s="39" t="n">
        <f aca="false">IF($H67=1,MAX(0,MIN($G67,EOMONTH(O$5,0))-MAX($F67,O$5)+1)/DAY(EOMONTH(O$5,0)),0)</f>
        <v>1</v>
      </c>
      <c r="P67" s="39" t="n">
        <f aca="false">IF($H67=1,MAX(0,MIN($G67,EOMONTH(P$5,0))-MAX($F67,P$5)+1)/DAY(EOMONTH(P$5,0)),0)</f>
        <v>1</v>
      </c>
      <c r="Q67" s="39" t="n">
        <f aca="false">IF($H67=1,MAX(0,MIN($G67,EOMONTH(Q$5,0))-MAX($F67,Q$5)+1)/DAY(EOMONTH(Q$5,0)),0)</f>
        <v>1</v>
      </c>
      <c r="R67" s="39" t="n">
        <f aca="false">IF($H67=1,MAX(0,MIN($G67,EOMONTH(R$5,0))-MAX($F67,R$5)+1)/DAY(EOMONTH(R$5,0)),0)</f>
        <v>1</v>
      </c>
      <c r="S67" s="39" t="n">
        <f aca="false">IF($H67=1,MAX(0,MIN($G67,EOMONTH(S$5,0))-MAX($F67,S$5)+1)/DAY(EOMONTH(S$5,0)),0)</f>
        <v>1</v>
      </c>
      <c r="T67" s="39" t="n">
        <f aca="false">IF($H67=1,MAX(0,MIN($G67,EOMONTH(T$5,0))-MAX($F67,T$5)+1)/DAY(EOMONTH(T$5,0)),0)</f>
        <v>1</v>
      </c>
      <c r="U67" s="39" t="n">
        <f aca="false">IF($H67=1,MAX(0,MIN($G67,EOMONTH(U$5,0))-MAX($F67,U$5)+1)/DAY(EOMONTH(U$5,0)),0)</f>
        <v>1</v>
      </c>
      <c r="V67" s="39" t="n">
        <f aca="false">IF($H67=1,MAX(0,MIN($G67,EOMONTH(V$5,0))-MAX($F67,V$5)+1)/DAY(EOMONTH(V$5,0)),0)</f>
        <v>1</v>
      </c>
      <c r="W67" s="40" t="n">
        <f aca="false">$E67/12*K67*IF(AND($J67=1,W$5&gt;=Assumptions!$B$18),1+Assumptions!$B$17,1)</f>
        <v>0</v>
      </c>
      <c r="X67" s="40" t="n">
        <f aca="false">$E67/12*L67*IF(AND($J67=1,X$5&gt;=Assumptions!$B$18),1+Assumptions!$B$17,1)</f>
        <v>0</v>
      </c>
      <c r="Y67" s="40" t="n">
        <f aca="false">$E67/12*M67*IF(AND($J67=1,Y$5&gt;=Assumptions!$B$18),1+Assumptions!$B$17,1)</f>
        <v>0</v>
      </c>
      <c r="Z67" s="40" t="n">
        <f aca="false">$E67/12*N67*IF(AND($J67=1,Z$5&gt;=Assumptions!$B$18),1+Assumptions!$B$17,1)</f>
        <v>0</v>
      </c>
      <c r="AA67" s="40" t="n">
        <f aca="false">$E67/12*O67*IF(AND($J67=1,AA$5&gt;=Assumptions!$B$18),1+Assumptions!$B$17,1)</f>
        <v>12625</v>
      </c>
      <c r="AB67" s="40" t="n">
        <f aca="false">$E67/12*P67*IF(AND($J67=1,AB$5&gt;=Assumptions!$B$18),1+Assumptions!$B$17,1)</f>
        <v>12625</v>
      </c>
      <c r="AC67" s="40" t="n">
        <f aca="false">$E67/12*Q67*IF(AND($J67=1,AC$5&gt;=Assumptions!$B$18),1+Assumptions!$B$17,1)</f>
        <v>12625</v>
      </c>
      <c r="AD67" s="40" t="n">
        <f aca="false">$E67/12*R67*IF(AND($J67=1,AD$5&gt;=Assumptions!$B$18),1+Assumptions!$B$17,1)</f>
        <v>12625</v>
      </c>
      <c r="AE67" s="40" t="n">
        <f aca="false">$E67/12*S67*IF(AND($J67=1,AE$5&gt;=Assumptions!$B$18),1+Assumptions!$B$17,1)</f>
        <v>12625</v>
      </c>
      <c r="AF67" s="40" t="n">
        <f aca="false">$E67/12*T67*IF(AND($J67=1,AF$5&gt;=Assumptions!$B$18),1+Assumptions!$B$17,1)</f>
        <v>12625</v>
      </c>
      <c r="AG67" s="40" t="n">
        <f aca="false">$E67/12*U67*IF(AND($J67=1,AG$5&gt;=Assumptions!$B$18),1+Assumptions!$B$17,1)</f>
        <v>12625</v>
      </c>
      <c r="AH67" s="40" t="n">
        <f aca="false">$E67/12*V67*IF(AND($J67=1,AH$5&gt;=Assumptions!$B$18),1+Assumptions!$B$17,1)</f>
        <v>12625</v>
      </c>
    </row>
    <row r="68" customFormat="false" ht="15" hidden="false" customHeight="true" outlineLevel="0" collapsed="false">
      <c r="A68" s="13" t="str">
        <f aca="false">Roster!A68</f>
        <v>TBH-ENG-03</v>
      </c>
      <c r="B68" s="13" t="str">
        <f aca="false">Roster!B68</f>
        <v>Engineering</v>
      </c>
      <c r="C68" s="13" t="str">
        <f aca="false">Roster!E68</f>
        <v>Open role</v>
      </c>
      <c r="D68" s="34" t="n">
        <f aca="false">Roster!D68</f>
        <v>2</v>
      </c>
      <c r="E68" s="35" t="n">
        <f aca="false">Roster!F68</f>
        <v>109000</v>
      </c>
      <c r="F68" s="36" t="n">
        <f aca="false">IF(Roster!E68="Open role",MAX(Assumptions!$B$14,EDATE(Roster!G68,IF(Roster!I68=2,Assumptions!$F$10,0)-Assumptions!$F$9)),Roster!G68)</f>
        <v>46478</v>
      </c>
      <c r="G68" s="36" t="n">
        <f aca="false">IF(Roster!H68="",DATE(2099,12,31),Roster!H68)</f>
        <v>73050</v>
      </c>
      <c r="H68" s="37" t="n">
        <f aca="false">IF(Roster!E68="Existing",1,IF(Roster!I68&lt;=Assumptions!$F$8,1,0))</f>
        <v>1</v>
      </c>
      <c r="I68" s="38" t="n">
        <f aca="false">IF(B68="Sales",Assumptions!$B$23,VLOOKUP(D68,Assumptions!$A$27:$B$31,2,FALSE()))</f>
        <v>0.08</v>
      </c>
      <c r="J68" s="37" t="n">
        <f aca="false">IF(F68&lt;Assumptions!$B$14,1,0)</f>
        <v>0</v>
      </c>
      <c r="K68" s="39" t="n">
        <f aca="false">IF($H68=1,MAX(0,MIN($G68,EOMONTH(K$5,0))-MAX($F68,K$5)+1)/DAY(EOMONTH(K$5,0)),0)</f>
        <v>0</v>
      </c>
      <c r="L68" s="39" t="n">
        <f aca="false">IF($H68=1,MAX(0,MIN($G68,EOMONTH(L$5,0))-MAX($F68,L$5)+1)/DAY(EOMONTH(L$5,0)),0)</f>
        <v>0</v>
      </c>
      <c r="M68" s="39" t="n">
        <f aca="false">IF($H68=1,MAX(0,MIN($G68,EOMONTH(M$5,0))-MAX($F68,M$5)+1)/DAY(EOMONTH(M$5,0)),0)</f>
        <v>0</v>
      </c>
      <c r="N68" s="39" t="n">
        <f aca="false">IF($H68=1,MAX(0,MIN($G68,EOMONTH(N$5,0))-MAX($F68,N$5)+1)/DAY(EOMONTH(N$5,0)),0)</f>
        <v>1</v>
      </c>
      <c r="O68" s="39" t="n">
        <f aca="false">IF($H68=1,MAX(0,MIN($G68,EOMONTH(O$5,0))-MAX($F68,O$5)+1)/DAY(EOMONTH(O$5,0)),0)</f>
        <v>1</v>
      </c>
      <c r="P68" s="39" t="n">
        <f aca="false">IF($H68=1,MAX(0,MIN($G68,EOMONTH(P$5,0))-MAX($F68,P$5)+1)/DAY(EOMONTH(P$5,0)),0)</f>
        <v>1</v>
      </c>
      <c r="Q68" s="39" t="n">
        <f aca="false">IF($H68=1,MAX(0,MIN($G68,EOMONTH(Q$5,0))-MAX($F68,Q$5)+1)/DAY(EOMONTH(Q$5,0)),0)</f>
        <v>1</v>
      </c>
      <c r="R68" s="39" t="n">
        <f aca="false">IF($H68=1,MAX(0,MIN($G68,EOMONTH(R$5,0))-MAX($F68,R$5)+1)/DAY(EOMONTH(R$5,0)),0)</f>
        <v>1</v>
      </c>
      <c r="S68" s="39" t="n">
        <f aca="false">IF($H68=1,MAX(0,MIN($G68,EOMONTH(S$5,0))-MAX($F68,S$5)+1)/DAY(EOMONTH(S$5,0)),0)</f>
        <v>1</v>
      </c>
      <c r="T68" s="39" t="n">
        <f aca="false">IF($H68=1,MAX(0,MIN($G68,EOMONTH(T$5,0))-MAX($F68,T$5)+1)/DAY(EOMONTH(T$5,0)),0)</f>
        <v>1</v>
      </c>
      <c r="U68" s="39" t="n">
        <f aca="false">IF($H68=1,MAX(0,MIN($G68,EOMONTH(U$5,0))-MAX($F68,U$5)+1)/DAY(EOMONTH(U$5,0)),0)</f>
        <v>1</v>
      </c>
      <c r="V68" s="39" t="n">
        <f aca="false">IF($H68=1,MAX(0,MIN($G68,EOMONTH(V$5,0))-MAX($F68,V$5)+1)/DAY(EOMONTH(V$5,0)),0)</f>
        <v>1</v>
      </c>
      <c r="W68" s="40" t="n">
        <f aca="false">$E68/12*K68*IF(AND($J68=1,W$5&gt;=Assumptions!$B$18),1+Assumptions!$B$17,1)</f>
        <v>0</v>
      </c>
      <c r="X68" s="40" t="n">
        <f aca="false">$E68/12*L68*IF(AND($J68=1,X$5&gt;=Assumptions!$B$18),1+Assumptions!$B$17,1)</f>
        <v>0</v>
      </c>
      <c r="Y68" s="40" t="n">
        <f aca="false">$E68/12*M68*IF(AND($J68=1,Y$5&gt;=Assumptions!$B$18),1+Assumptions!$B$17,1)</f>
        <v>0</v>
      </c>
      <c r="Z68" s="40" t="n">
        <f aca="false">$E68/12*N68*IF(AND($J68=1,Z$5&gt;=Assumptions!$B$18),1+Assumptions!$B$17,1)</f>
        <v>9083.33333333333</v>
      </c>
      <c r="AA68" s="40" t="n">
        <f aca="false">$E68/12*O68*IF(AND($J68=1,AA$5&gt;=Assumptions!$B$18),1+Assumptions!$B$17,1)</f>
        <v>9083.33333333333</v>
      </c>
      <c r="AB68" s="40" t="n">
        <f aca="false">$E68/12*P68*IF(AND($J68=1,AB$5&gt;=Assumptions!$B$18),1+Assumptions!$B$17,1)</f>
        <v>9083.33333333333</v>
      </c>
      <c r="AC68" s="40" t="n">
        <f aca="false">$E68/12*Q68*IF(AND($J68=1,AC$5&gt;=Assumptions!$B$18),1+Assumptions!$B$17,1)</f>
        <v>9083.33333333333</v>
      </c>
      <c r="AD68" s="40" t="n">
        <f aca="false">$E68/12*R68*IF(AND($J68=1,AD$5&gt;=Assumptions!$B$18),1+Assumptions!$B$17,1)</f>
        <v>9083.33333333333</v>
      </c>
      <c r="AE68" s="40" t="n">
        <f aca="false">$E68/12*S68*IF(AND($J68=1,AE$5&gt;=Assumptions!$B$18),1+Assumptions!$B$17,1)</f>
        <v>9083.33333333333</v>
      </c>
      <c r="AF68" s="40" t="n">
        <f aca="false">$E68/12*T68*IF(AND($J68=1,AF$5&gt;=Assumptions!$B$18),1+Assumptions!$B$17,1)</f>
        <v>9083.33333333333</v>
      </c>
      <c r="AG68" s="40" t="n">
        <f aca="false">$E68/12*U68*IF(AND($J68=1,AG$5&gt;=Assumptions!$B$18),1+Assumptions!$B$17,1)</f>
        <v>9083.33333333333</v>
      </c>
      <c r="AH68" s="40" t="n">
        <f aca="false">$E68/12*V68*IF(AND($J68=1,AH$5&gt;=Assumptions!$B$18),1+Assumptions!$B$17,1)</f>
        <v>9083.33333333333</v>
      </c>
    </row>
    <row r="69" customFormat="false" ht="15" hidden="false" customHeight="true" outlineLevel="0" collapsed="false">
      <c r="A69" s="13" t="str">
        <f aca="false">Roster!A69</f>
        <v>TBH-ENG-04</v>
      </c>
      <c r="B69" s="13" t="str">
        <f aca="false">Roster!B69</f>
        <v>Engineering</v>
      </c>
      <c r="C69" s="13" t="str">
        <f aca="false">Roster!E69</f>
        <v>Open role</v>
      </c>
      <c r="D69" s="34" t="n">
        <f aca="false">Roster!D69</f>
        <v>3</v>
      </c>
      <c r="E69" s="35" t="n">
        <f aca="false">Roster!F69</f>
        <v>150000</v>
      </c>
      <c r="F69" s="36" t="n">
        <f aca="false">IF(Roster!E69="Open role",MAX(Assumptions!$B$14,EDATE(Roster!G69,IF(Roster!I69=2,Assumptions!$F$10,0)-Assumptions!$F$9)),Roster!G69)</f>
        <v>46539</v>
      </c>
      <c r="G69" s="36" t="n">
        <f aca="false">IF(Roster!H69="",DATE(2099,12,31),Roster!H69)</f>
        <v>73050</v>
      </c>
      <c r="H69" s="37" t="n">
        <f aca="false">IF(Roster!E69="Existing",1,IF(Roster!I69&lt;=Assumptions!$F$8,1,0))</f>
        <v>1</v>
      </c>
      <c r="I69" s="38" t="n">
        <f aca="false">IF(B69="Sales",Assumptions!$B$23,VLOOKUP(D69,Assumptions!$A$27:$B$31,2,FALSE()))</f>
        <v>0.1</v>
      </c>
      <c r="J69" s="37" t="n">
        <f aca="false">IF(F69&lt;Assumptions!$B$14,1,0)</f>
        <v>0</v>
      </c>
      <c r="K69" s="39" t="n">
        <f aca="false">IF($H69=1,MAX(0,MIN($G69,EOMONTH(K$5,0))-MAX($F69,K$5)+1)/DAY(EOMONTH(K$5,0)),0)</f>
        <v>0</v>
      </c>
      <c r="L69" s="39" t="n">
        <f aca="false">IF($H69=1,MAX(0,MIN($G69,EOMONTH(L$5,0))-MAX($F69,L$5)+1)/DAY(EOMONTH(L$5,0)),0)</f>
        <v>0</v>
      </c>
      <c r="M69" s="39" t="n">
        <f aca="false">IF($H69=1,MAX(0,MIN($G69,EOMONTH(M$5,0))-MAX($F69,M$5)+1)/DAY(EOMONTH(M$5,0)),0)</f>
        <v>0</v>
      </c>
      <c r="N69" s="39" t="n">
        <f aca="false">IF($H69=1,MAX(0,MIN($G69,EOMONTH(N$5,0))-MAX($F69,N$5)+1)/DAY(EOMONTH(N$5,0)),0)</f>
        <v>0</v>
      </c>
      <c r="O69" s="39" t="n">
        <f aca="false">IF($H69=1,MAX(0,MIN($G69,EOMONTH(O$5,0))-MAX($F69,O$5)+1)/DAY(EOMONTH(O$5,0)),0)</f>
        <v>0</v>
      </c>
      <c r="P69" s="39" t="n">
        <f aca="false">IF($H69=1,MAX(0,MIN($G69,EOMONTH(P$5,0))-MAX($F69,P$5)+1)/DAY(EOMONTH(P$5,0)),0)</f>
        <v>1</v>
      </c>
      <c r="Q69" s="39" t="n">
        <f aca="false">IF($H69=1,MAX(0,MIN($G69,EOMONTH(Q$5,0))-MAX($F69,Q$5)+1)/DAY(EOMONTH(Q$5,0)),0)</f>
        <v>1</v>
      </c>
      <c r="R69" s="39" t="n">
        <f aca="false">IF($H69=1,MAX(0,MIN($G69,EOMONTH(R$5,0))-MAX($F69,R$5)+1)/DAY(EOMONTH(R$5,0)),0)</f>
        <v>1</v>
      </c>
      <c r="S69" s="39" t="n">
        <f aca="false">IF($H69=1,MAX(0,MIN($G69,EOMONTH(S$5,0))-MAX($F69,S$5)+1)/DAY(EOMONTH(S$5,0)),0)</f>
        <v>1</v>
      </c>
      <c r="T69" s="39" t="n">
        <f aca="false">IF($H69=1,MAX(0,MIN($G69,EOMONTH(T$5,0))-MAX($F69,T$5)+1)/DAY(EOMONTH(T$5,0)),0)</f>
        <v>1</v>
      </c>
      <c r="U69" s="39" t="n">
        <f aca="false">IF($H69=1,MAX(0,MIN($G69,EOMONTH(U$5,0))-MAX($F69,U$5)+1)/DAY(EOMONTH(U$5,0)),0)</f>
        <v>1</v>
      </c>
      <c r="V69" s="39" t="n">
        <f aca="false">IF($H69=1,MAX(0,MIN($G69,EOMONTH(V$5,0))-MAX($F69,V$5)+1)/DAY(EOMONTH(V$5,0)),0)</f>
        <v>1</v>
      </c>
      <c r="W69" s="40" t="n">
        <f aca="false">$E69/12*K69*IF(AND($J69=1,W$5&gt;=Assumptions!$B$18),1+Assumptions!$B$17,1)</f>
        <v>0</v>
      </c>
      <c r="X69" s="40" t="n">
        <f aca="false">$E69/12*L69*IF(AND($J69=1,X$5&gt;=Assumptions!$B$18),1+Assumptions!$B$17,1)</f>
        <v>0</v>
      </c>
      <c r="Y69" s="40" t="n">
        <f aca="false">$E69/12*M69*IF(AND($J69=1,Y$5&gt;=Assumptions!$B$18),1+Assumptions!$B$17,1)</f>
        <v>0</v>
      </c>
      <c r="Z69" s="40" t="n">
        <f aca="false">$E69/12*N69*IF(AND($J69=1,Z$5&gt;=Assumptions!$B$18),1+Assumptions!$B$17,1)</f>
        <v>0</v>
      </c>
      <c r="AA69" s="40" t="n">
        <f aca="false">$E69/12*O69*IF(AND($J69=1,AA$5&gt;=Assumptions!$B$18),1+Assumptions!$B$17,1)</f>
        <v>0</v>
      </c>
      <c r="AB69" s="40" t="n">
        <f aca="false">$E69/12*P69*IF(AND($J69=1,AB$5&gt;=Assumptions!$B$18),1+Assumptions!$B$17,1)</f>
        <v>12500</v>
      </c>
      <c r="AC69" s="40" t="n">
        <f aca="false">$E69/12*Q69*IF(AND($J69=1,AC$5&gt;=Assumptions!$B$18),1+Assumptions!$B$17,1)</f>
        <v>12500</v>
      </c>
      <c r="AD69" s="40" t="n">
        <f aca="false">$E69/12*R69*IF(AND($J69=1,AD$5&gt;=Assumptions!$B$18),1+Assumptions!$B$17,1)</f>
        <v>12500</v>
      </c>
      <c r="AE69" s="40" t="n">
        <f aca="false">$E69/12*S69*IF(AND($J69=1,AE$5&gt;=Assumptions!$B$18),1+Assumptions!$B$17,1)</f>
        <v>12500</v>
      </c>
      <c r="AF69" s="40" t="n">
        <f aca="false">$E69/12*T69*IF(AND($J69=1,AF$5&gt;=Assumptions!$B$18),1+Assumptions!$B$17,1)</f>
        <v>12500</v>
      </c>
      <c r="AG69" s="40" t="n">
        <f aca="false">$E69/12*U69*IF(AND($J69=1,AG$5&gt;=Assumptions!$B$18),1+Assumptions!$B$17,1)</f>
        <v>12500</v>
      </c>
      <c r="AH69" s="40" t="n">
        <f aca="false">$E69/12*V69*IF(AND($J69=1,AH$5&gt;=Assumptions!$B$18),1+Assumptions!$B$17,1)</f>
        <v>12500</v>
      </c>
    </row>
    <row r="70" customFormat="false" ht="15" hidden="false" customHeight="true" outlineLevel="0" collapsed="false">
      <c r="A70" s="13" t="str">
        <f aca="false">Roster!A70</f>
        <v>TBH-ENG-05</v>
      </c>
      <c r="B70" s="13" t="str">
        <f aca="false">Roster!B70</f>
        <v>Engineering</v>
      </c>
      <c r="C70" s="13" t="str">
        <f aca="false">Roster!E70</f>
        <v>Open role</v>
      </c>
      <c r="D70" s="34" t="n">
        <f aca="false">Roster!D70</f>
        <v>4</v>
      </c>
      <c r="E70" s="35" t="n">
        <f aca="false">Roster!F70</f>
        <v>186000</v>
      </c>
      <c r="F70" s="36" t="n">
        <f aca="false">IF(Roster!E70="Open role",MAX(Assumptions!$B$14,EDATE(Roster!G70,IF(Roster!I70=2,Assumptions!$F$10,0)-Assumptions!$F$9)),Roster!G70)</f>
        <v>46569</v>
      </c>
      <c r="G70" s="36" t="n">
        <f aca="false">IF(Roster!H70="",DATE(2099,12,31),Roster!H70)</f>
        <v>73050</v>
      </c>
      <c r="H70" s="37" t="n">
        <f aca="false">IF(Roster!E70="Existing",1,IF(Roster!I70&lt;=Assumptions!$F$8,1,0))</f>
        <v>1</v>
      </c>
      <c r="I70" s="38" t="n">
        <f aca="false">IF(B70="Sales",Assumptions!$B$23,VLOOKUP(D70,Assumptions!$A$27:$B$31,2,FALSE()))</f>
        <v>0.15</v>
      </c>
      <c r="J70" s="37" t="n">
        <f aca="false">IF(F70&lt;Assumptions!$B$14,1,0)</f>
        <v>0</v>
      </c>
      <c r="K70" s="39" t="n">
        <f aca="false">IF($H70=1,MAX(0,MIN($G70,EOMONTH(K$5,0))-MAX($F70,K$5)+1)/DAY(EOMONTH(K$5,0)),0)</f>
        <v>0</v>
      </c>
      <c r="L70" s="39" t="n">
        <f aca="false">IF($H70=1,MAX(0,MIN($G70,EOMONTH(L$5,0))-MAX($F70,L$5)+1)/DAY(EOMONTH(L$5,0)),0)</f>
        <v>0</v>
      </c>
      <c r="M70" s="39" t="n">
        <f aca="false">IF($H70=1,MAX(0,MIN($G70,EOMONTH(M$5,0))-MAX($F70,M$5)+1)/DAY(EOMONTH(M$5,0)),0)</f>
        <v>0</v>
      </c>
      <c r="N70" s="39" t="n">
        <f aca="false">IF($H70=1,MAX(0,MIN($G70,EOMONTH(N$5,0))-MAX($F70,N$5)+1)/DAY(EOMONTH(N$5,0)),0)</f>
        <v>0</v>
      </c>
      <c r="O70" s="39" t="n">
        <f aca="false">IF($H70=1,MAX(0,MIN($G70,EOMONTH(O$5,0))-MAX($F70,O$5)+1)/DAY(EOMONTH(O$5,0)),0)</f>
        <v>0</v>
      </c>
      <c r="P70" s="39" t="n">
        <f aca="false">IF($H70=1,MAX(0,MIN($G70,EOMONTH(P$5,0))-MAX($F70,P$5)+1)/DAY(EOMONTH(P$5,0)),0)</f>
        <v>0</v>
      </c>
      <c r="Q70" s="39" t="n">
        <f aca="false">IF($H70=1,MAX(0,MIN($G70,EOMONTH(Q$5,0))-MAX($F70,Q$5)+1)/DAY(EOMONTH(Q$5,0)),0)</f>
        <v>1</v>
      </c>
      <c r="R70" s="39" t="n">
        <f aca="false">IF($H70=1,MAX(0,MIN($G70,EOMONTH(R$5,0))-MAX($F70,R$5)+1)/DAY(EOMONTH(R$5,0)),0)</f>
        <v>1</v>
      </c>
      <c r="S70" s="39" t="n">
        <f aca="false">IF($H70=1,MAX(0,MIN($G70,EOMONTH(S$5,0))-MAX($F70,S$5)+1)/DAY(EOMONTH(S$5,0)),0)</f>
        <v>1</v>
      </c>
      <c r="T70" s="39" t="n">
        <f aca="false">IF($H70=1,MAX(0,MIN($G70,EOMONTH(T$5,0))-MAX($F70,T$5)+1)/DAY(EOMONTH(T$5,0)),0)</f>
        <v>1</v>
      </c>
      <c r="U70" s="39" t="n">
        <f aca="false">IF($H70=1,MAX(0,MIN($G70,EOMONTH(U$5,0))-MAX($F70,U$5)+1)/DAY(EOMONTH(U$5,0)),0)</f>
        <v>1</v>
      </c>
      <c r="V70" s="39" t="n">
        <f aca="false">IF($H70=1,MAX(0,MIN($G70,EOMONTH(V$5,0))-MAX($F70,V$5)+1)/DAY(EOMONTH(V$5,0)),0)</f>
        <v>1</v>
      </c>
      <c r="W70" s="40" t="n">
        <f aca="false">$E70/12*K70*IF(AND($J70=1,W$5&gt;=Assumptions!$B$18),1+Assumptions!$B$17,1)</f>
        <v>0</v>
      </c>
      <c r="X70" s="40" t="n">
        <f aca="false">$E70/12*L70*IF(AND($J70=1,X$5&gt;=Assumptions!$B$18),1+Assumptions!$B$17,1)</f>
        <v>0</v>
      </c>
      <c r="Y70" s="40" t="n">
        <f aca="false">$E70/12*M70*IF(AND($J70=1,Y$5&gt;=Assumptions!$B$18),1+Assumptions!$B$17,1)</f>
        <v>0</v>
      </c>
      <c r="Z70" s="40" t="n">
        <f aca="false">$E70/12*N70*IF(AND($J70=1,Z$5&gt;=Assumptions!$B$18),1+Assumptions!$B$17,1)</f>
        <v>0</v>
      </c>
      <c r="AA70" s="40" t="n">
        <f aca="false">$E70/12*O70*IF(AND($J70=1,AA$5&gt;=Assumptions!$B$18),1+Assumptions!$B$17,1)</f>
        <v>0</v>
      </c>
      <c r="AB70" s="40" t="n">
        <f aca="false">$E70/12*P70*IF(AND($J70=1,AB$5&gt;=Assumptions!$B$18),1+Assumptions!$B$17,1)</f>
        <v>0</v>
      </c>
      <c r="AC70" s="40" t="n">
        <f aca="false">$E70/12*Q70*IF(AND($J70=1,AC$5&gt;=Assumptions!$B$18),1+Assumptions!$B$17,1)</f>
        <v>15500</v>
      </c>
      <c r="AD70" s="40" t="n">
        <f aca="false">$E70/12*R70*IF(AND($J70=1,AD$5&gt;=Assumptions!$B$18),1+Assumptions!$B$17,1)</f>
        <v>15500</v>
      </c>
      <c r="AE70" s="40" t="n">
        <f aca="false">$E70/12*S70*IF(AND($J70=1,AE$5&gt;=Assumptions!$B$18),1+Assumptions!$B$17,1)</f>
        <v>15500</v>
      </c>
      <c r="AF70" s="40" t="n">
        <f aca="false">$E70/12*T70*IF(AND($J70=1,AF$5&gt;=Assumptions!$B$18),1+Assumptions!$B$17,1)</f>
        <v>15500</v>
      </c>
      <c r="AG70" s="40" t="n">
        <f aca="false">$E70/12*U70*IF(AND($J70=1,AG$5&gt;=Assumptions!$B$18),1+Assumptions!$B$17,1)</f>
        <v>15500</v>
      </c>
      <c r="AH70" s="40" t="n">
        <f aca="false">$E70/12*V70*IF(AND($J70=1,AH$5&gt;=Assumptions!$B$18),1+Assumptions!$B$17,1)</f>
        <v>15500</v>
      </c>
    </row>
    <row r="71" customFormat="false" ht="15" hidden="false" customHeight="true" outlineLevel="0" collapsed="false">
      <c r="A71" s="13" t="str">
        <f aca="false">Roster!A71</f>
        <v>TBH-ENG-06</v>
      </c>
      <c r="B71" s="13" t="str">
        <f aca="false">Roster!B71</f>
        <v>Engineering</v>
      </c>
      <c r="C71" s="13" t="str">
        <f aca="false">Roster!E71</f>
        <v>Open role</v>
      </c>
      <c r="D71" s="34" t="n">
        <f aca="false">Roster!D71</f>
        <v>1</v>
      </c>
      <c r="E71" s="35" t="n">
        <f aca="false">Roster!F71</f>
        <v>86000</v>
      </c>
      <c r="F71" s="36" t="n">
        <f aca="false">IF(Roster!E71="Open role",MAX(Assumptions!$B$14,EDATE(Roster!G71,IF(Roster!I71=2,Assumptions!$F$10,0)-Assumptions!$F$9)),Roster!G71)</f>
        <v>46631</v>
      </c>
      <c r="G71" s="36" t="n">
        <f aca="false">IF(Roster!H71="",DATE(2099,12,31),Roster!H71)</f>
        <v>73050</v>
      </c>
      <c r="H71" s="37" t="n">
        <f aca="false">IF(Roster!E71="Existing",1,IF(Roster!I71&lt;=Assumptions!$F$8,1,0))</f>
        <v>0</v>
      </c>
      <c r="I71" s="38" t="n">
        <f aca="false">IF(B71="Sales",Assumptions!$B$23,VLOOKUP(D71,Assumptions!$A$27:$B$31,2,FALSE()))</f>
        <v>0.05</v>
      </c>
      <c r="J71" s="37" t="n">
        <f aca="false">IF(F71&lt;Assumptions!$B$14,1,0)</f>
        <v>0</v>
      </c>
      <c r="K71" s="39" t="n">
        <f aca="false">IF($H71=1,MAX(0,MIN($G71,EOMONTH(K$5,0))-MAX($F71,K$5)+1)/DAY(EOMONTH(K$5,0)),0)</f>
        <v>0</v>
      </c>
      <c r="L71" s="39" t="n">
        <f aca="false">IF($H71=1,MAX(0,MIN($G71,EOMONTH(L$5,0))-MAX($F71,L$5)+1)/DAY(EOMONTH(L$5,0)),0)</f>
        <v>0</v>
      </c>
      <c r="M71" s="39" t="n">
        <f aca="false">IF($H71=1,MAX(0,MIN($G71,EOMONTH(M$5,0))-MAX($F71,M$5)+1)/DAY(EOMONTH(M$5,0)),0)</f>
        <v>0</v>
      </c>
      <c r="N71" s="39" t="n">
        <f aca="false">IF($H71=1,MAX(0,MIN($G71,EOMONTH(N$5,0))-MAX($F71,N$5)+1)/DAY(EOMONTH(N$5,0)),0)</f>
        <v>0</v>
      </c>
      <c r="O71" s="39" t="n">
        <f aca="false">IF($H71=1,MAX(0,MIN($G71,EOMONTH(O$5,0))-MAX($F71,O$5)+1)/DAY(EOMONTH(O$5,0)),0)</f>
        <v>0</v>
      </c>
      <c r="P71" s="39" t="n">
        <f aca="false">IF($H71=1,MAX(0,MIN($G71,EOMONTH(P$5,0))-MAX($F71,P$5)+1)/DAY(EOMONTH(P$5,0)),0)</f>
        <v>0</v>
      </c>
      <c r="Q71" s="39" t="n">
        <f aca="false">IF($H71=1,MAX(0,MIN($G71,EOMONTH(Q$5,0))-MAX($F71,Q$5)+1)/DAY(EOMONTH(Q$5,0)),0)</f>
        <v>0</v>
      </c>
      <c r="R71" s="39" t="n">
        <f aca="false">IF($H71=1,MAX(0,MIN($G71,EOMONTH(R$5,0))-MAX($F71,R$5)+1)/DAY(EOMONTH(R$5,0)),0)</f>
        <v>0</v>
      </c>
      <c r="S71" s="39" t="n">
        <f aca="false">IF($H71=1,MAX(0,MIN($G71,EOMONTH(S$5,0))-MAX($F71,S$5)+1)/DAY(EOMONTH(S$5,0)),0)</f>
        <v>0</v>
      </c>
      <c r="T71" s="39" t="n">
        <f aca="false">IF($H71=1,MAX(0,MIN($G71,EOMONTH(T$5,0))-MAX($F71,T$5)+1)/DAY(EOMONTH(T$5,0)),0)</f>
        <v>0</v>
      </c>
      <c r="U71" s="39" t="n">
        <f aca="false">IF($H71=1,MAX(0,MIN($G71,EOMONTH(U$5,0))-MAX($F71,U$5)+1)/DAY(EOMONTH(U$5,0)),0)</f>
        <v>0</v>
      </c>
      <c r="V71" s="39" t="n">
        <f aca="false">IF($H71=1,MAX(0,MIN($G71,EOMONTH(V$5,0))-MAX($F71,V$5)+1)/DAY(EOMONTH(V$5,0)),0)</f>
        <v>0</v>
      </c>
      <c r="W71" s="40" t="n">
        <f aca="false">$E71/12*K71*IF(AND($J71=1,W$5&gt;=Assumptions!$B$18),1+Assumptions!$B$17,1)</f>
        <v>0</v>
      </c>
      <c r="X71" s="40" t="n">
        <f aca="false">$E71/12*L71*IF(AND($J71=1,X$5&gt;=Assumptions!$B$18),1+Assumptions!$B$17,1)</f>
        <v>0</v>
      </c>
      <c r="Y71" s="40" t="n">
        <f aca="false">$E71/12*M71*IF(AND($J71=1,Y$5&gt;=Assumptions!$B$18),1+Assumptions!$B$17,1)</f>
        <v>0</v>
      </c>
      <c r="Z71" s="40" t="n">
        <f aca="false">$E71/12*N71*IF(AND($J71=1,Z$5&gt;=Assumptions!$B$18),1+Assumptions!$B$17,1)</f>
        <v>0</v>
      </c>
      <c r="AA71" s="40" t="n">
        <f aca="false">$E71/12*O71*IF(AND($J71=1,AA$5&gt;=Assumptions!$B$18),1+Assumptions!$B$17,1)</f>
        <v>0</v>
      </c>
      <c r="AB71" s="40" t="n">
        <f aca="false">$E71/12*P71*IF(AND($J71=1,AB$5&gt;=Assumptions!$B$18),1+Assumptions!$B$17,1)</f>
        <v>0</v>
      </c>
      <c r="AC71" s="40" t="n">
        <f aca="false">$E71/12*Q71*IF(AND($J71=1,AC$5&gt;=Assumptions!$B$18),1+Assumptions!$B$17,1)</f>
        <v>0</v>
      </c>
      <c r="AD71" s="40" t="n">
        <f aca="false">$E71/12*R71*IF(AND($J71=1,AD$5&gt;=Assumptions!$B$18),1+Assumptions!$B$17,1)</f>
        <v>0</v>
      </c>
      <c r="AE71" s="40" t="n">
        <f aca="false">$E71/12*S71*IF(AND($J71=1,AE$5&gt;=Assumptions!$B$18),1+Assumptions!$B$17,1)</f>
        <v>0</v>
      </c>
      <c r="AF71" s="40" t="n">
        <f aca="false">$E71/12*T71*IF(AND($J71=1,AF$5&gt;=Assumptions!$B$18),1+Assumptions!$B$17,1)</f>
        <v>0</v>
      </c>
      <c r="AG71" s="40" t="n">
        <f aca="false">$E71/12*U71*IF(AND($J71=1,AG$5&gt;=Assumptions!$B$18),1+Assumptions!$B$17,1)</f>
        <v>0</v>
      </c>
      <c r="AH71" s="40" t="n">
        <f aca="false">$E71/12*V71*IF(AND($J71=1,AH$5&gt;=Assumptions!$B$18),1+Assumptions!$B$17,1)</f>
        <v>0</v>
      </c>
    </row>
    <row r="72" customFormat="false" ht="15" hidden="false" customHeight="true" outlineLevel="0" collapsed="false">
      <c r="A72" s="13" t="str">
        <f aca="false">Roster!A72</f>
        <v>TBH-PRD-01</v>
      </c>
      <c r="B72" s="13" t="str">
        <f aca="false">Roster!B72</f>
        <v>Product</v>
      </c>
      <c r="C72" s="13" t="str">
        <f aca="false">Roster!E72</f>
        <v>Open role</v>
      </c>
      <c r="D72" s="34" t="n">
        <f aca="false">Roster!D72</f>
        <v>3</v>
      </c>
      <c r="E72" s="35" t="n">
        <f aca="false">Roster!F72</f>
        <v>139500</v>
      </c>
      <c r="F72" s="36" t="n">
        <f aca="false">IF(Roster!E72="Open role",MAX(Assumptions!$B$14,EDATE(Roster!G72,IF(Roster!I72=2,Assumptions!$F$10,0)-Assumptions!$F$9)),Roster!G72)</f>
        <v>46447</v>
      </c>
      <c r="G72" s="36" t="n">
        <f aca="false">IF(Roster!H72="",DATE(2099,12,31),Roster!H72)</f>
        <v>73050</v>
      </c>
      <c r="H72" s="37" t="n">
        <f aca="false">IF(Roster!E72="Existing",1,IF(Roster!I72&lt;=Assumptions!$F$8,1,0))</f>
        <v>1</v>
      </c>
      <c r="I72" s="38" t="n">
        <f aca="false">IF(B72="Sales",Assumptions!$B$23,VLOOKUP(D72,Assumptions!$A$27:$B$31,2,FALSE()))</f>
        <v>0.1</v>
      </c>
      <c r="J72" s="37" t="n">
        <f aca="false">IF(F72&lt;Assumptions!$B$14,1,0)</f>
        <v>0</v>
      </c>
      <c r="K72" s="39" t="n">
        <f aca="false">IF($H72=1,MAX(0,MIN($G72,EOMONTH(K$5,0))-MAX($F72,K$5)+1)/DAY(EOMONTH(K$5,0)),0)</f>
        <v>0</v>
      </c>
      <c r="L72" s="39" t="n">
        <f aca="false">IF($H72=1,MAX(0,MIN($G72,EOMONTH(L$5,0))-MAX($F72,L$5)+1)/DAY(EOMONTH(L$5,0)),0)</f>
        <v>0</v>
      </c>
      <c r="M72" s="39" t="n">
        <f aca="false">IF($H72=1,MAX(0,MIN($G72,EOMONTH(M$5,0))-MAX($F72,M$5)+1)/DAY(EOMONTH(M$5,0)),0)</f>
        <v>1</v>
      </c>
      <c r="N72" s="39" t="n">
        <f aca="false">IF($H72=1,MAX(0,MIN($G72,EOMONTH(N$5,0))-MAX($F72,N$5)+1)/DAY(EOMONTH(N$5,0)),0)</f>
        <v>1</v>
      </c>
      <c r="O72" s="39" t="n">
        <f aca="false">IF($H72=1,MAX(0,MIN($G72,EOMONTH(O$5,0))-MAX($F72,O$5)+1)/DAY(EOMONTH(O$5,0)),0)</f>
        <v>1</v>
      </c>
      <c r="P72" s="39" t="n">
        <f aca="false">IF($H72=1,MAX(0,MIN($G72,EOMONTH(P$5,0))-MAX($F72,P$5)+1)/DAY(EOMONTH(P$5,0)),0)</f>
        <v>1</v>
      </c>
      <c r="Q72" s="39" t="n">
        <f aca="false">IF($H72=1,MAX(0,MIN($G72,EOMONTH(Q$5,0))-MAX($F72,Q$5)+1)/DAY(EOMONTH(Q$5,0)),0)</f>
        <v>1</v>
      </c>
      <c r="R72" s="39" t="n">
        <f aca="false">IF($H72=1,MAX(0,MIN($G72,EOMONTH(R$5,0))-MAX($F72,R$5)+1)/DAY(EOMONTH(R$5,0)),0)</f>
        <v>1</v>
      </c>
      <c r="S72" s="39" t="n">
        <f aca="false">IF($H72=1,MAX(0,MIN($G72,EOMONTH(S$5,0))-MAX($F72,S$5)+1)/DAY(EOMONTH(S$5,0)),0)</f>
        <v>1</v>
      </c>
      <c r="T72" s="39" t="n">
        <f aca="false">IF($H72=1,MAX(0,MIN($G72,EOMONTH(T$5,0))-MAX($F72,T$5)+1)/DAY(EOMONTH(T$5,0)),0)</f>
        <v>1</v>
      </c>
      <c r="U72" s="39" t="n">
        <f aca="false">IF($H72=1,MAX(0,MIN($G72,EOMONTH(U$5,0))-MAX($F72,U$5)+1)/DAY(EOMONTH(U$5,0)),0)</f>
        <v>1</v>
      </c>
      <c r="V72" s="39" t="n">
        <f aca="false">IF($H72=1,MAX(0,MIN($G72,EOMONTH(V$5,0))-MAX($F72,V$5)+1)/DAY(EOMONTH(V$5,0)),0)</f>
        <v>1</v>
      </c>
      <c r="W72" s="40" t="n">
        <f aca="false">$E72/12*K72*IF(AND($J72=1,W$5&gt;=Assumptions!$B$18),1+Assumptions!$B$17,1)</f>
        <v>0</v>
      </c>
      <c r="X72" s="40" t="n">
        <f aca="false">$E72/12*L72*IF(AND($J72=1,X$5&gt;=Assumptions!$B$18),1+Assumptions!$B$17,1)</f>
        <v>0</v>
      </c>
      <c r="Y72" s="40" t="n">
        <f aca="false">$E72/12*M72*IF(AND($J72=1,Y$5&gt;=Assumptions!$B$18),1+Assumptions!$B$17,1)</f>
        <v>11625</v>
      </c>
      <c r="Z72" s="40" t="n">
        <f aca="false">$E72/12*N72*IF(AND($J72=1,Z$5&gt;=Assumptions!$B$18),1+Assumptions!$B$17,1)</f>
        <v>11625</v>
      </c>
      <c r="AA72" s="40" t="n">
        <f aca="false">$E72/12*O72*IF(AND($J72=1,AA$5&gt;=Assumptions!$B$18),1+Assumptions!$B$17,1)</f>
        <v>11625</v>
      </c>
      <c r="AB72" s="40" t="n">
        <f aca="false">$E72/12*P72*IF(AND($J72=1,AB$5&gt;=Assumptions!$B$18),1+Assumptions!$B$17,1)</f>
        <v>11625</v>
      </c>
      <c r="AC72" s="40" t="n">
        <f aca="false">$E72/12*Q72*IF(AND($J72=1,AC$5&gt;=Assumptions!$B$18),1+Assumptions!$B$17,1)</f>
        <v>11625</v>
      </c>
      <c r="AD72" s="40" t="n">
        <f aca="false">$E72/12*R72*IF(AND($J72=1,AD$5&gt;=Assumptions!$B$18),1+Assumptions!$B$17,1)</f>
        <v>11625</v>
      </c>
      <c r="AE72" s="40" t="n">
        <f aca="false">$E72/12*S72*IF(AND($J72=1,AE$5&gt;=Assumptions!$B$18),1+Assumptions!$B$17,1)</f>
        <v>11625</v>
      </c>
      <c r="AF72" s="40" t="n">
        <f aca="false">$E72/12*T72*IF(AND($J72=1,AF$5&gt;=Assumptions!$B$18),1+Assumptions!$B$17,1)</f>
        <v>11625</v>
      </c>
      <c r="AG72" s="40" t="n">
        <f aca="false">$E72/12*U72*IF(AND($J72=1,AG$5&gt;=Assumptions!$B$18),1+Assumptions!$B$17,1)</f>
        <v>11625</v>
      </c>
      <c r="AH72" s="40" t="n">
        <f aca="false">$E72/12*V72*IF(AND($J72=1,AH$5&gt;=Assumptions!$B$18),1+Assumptions!$B$17,1)</f>
        <v>11625</v>
      </c>
    </row>
    <row r="73" customFormat="false" ht="15" hidden="false" customHeight="true" outlineLevel="0" collapsed="false">
      <c r="A73" s="13" t="str">
        <f aca="false">Roster!A73</f>
        <v>TBH-SLS-01</v>
      </c>
      <c r="B73" s="13" t="str">
        <f aca="false">Roster!B73</f>
        <v>Sales</v>
      </c>
      <c r="C73" s="13" t="str">
        <f aca="false">Roster!E73</f>
        <v>Open role</v>
      </c>
      <c r="D73" s="34" t="n">
        <f aca="false">Roster!D73</f>
        <v>2</v>
      </c>
      <c r="E73" s="35" t="n">
        <f aca="false">Roster!F73</f>
        <v>80000</v>
      </c>
      <c r="F73" s="36" t="n">
        <f aca="false">IF(Roster!E73="Open role",MAX(Assumptions!$B$14,EDATE(Roster!G73,IF(Roster!I73=2,Assumptions!$F$10,0)-Assumptions!$F$9)),Roster!G73)</f>
        <v>46447</v>
      </c>
      <c r="G73" s="36" t="n">
        <f aca="false">IF(Roster!H73="",DATE(2099,12,31),Roster!H73)</f>
        <v>73050</v>
      </c>
      <c r="H73" s="37" t="n">
        <f aca="false">IF(Roster!E73="Existing",1,IF(Roster!I73&lt;=Assumptions!$F$8,1,0))</f>
        <v>1</v>
      </c>
      <c r="I73" s="38" t="n">
        <f aca="false">IF(B73="Sales",Assumptions!$B$23,VLOOKUP(D73,Assumptions!$A$27:$B$31,2,FALSE()))</f>
        <v>0.3</v>
      </c>
      <c r="J73" s="37" t="n">
        <f aca="false">IF(F73&lt;Assumptions!$B$14,1,0)</f>
        <v>0</v>
      </c>
      <c r="K73" s="39" t="n">
        <f aca="false">IF($H73=1,MAX(0,MIN($G73,EOMONTH(K$5,0))-MAX($F73,K$5)+1)/DAY(EOMONTH(K$5,0)),0)</f>
        <v>0</v>
      </c>
      <c r="L73" s="39" t="n">
        <f aca="false">IF($H73=1,MAX(0,MIN($G73,EOMONTH(L$5,0))-MAX($F73,L$5)+1)/DAY(EOMONTH(L$5,0)),0)</f>
        <v>0</v>
      </c>
      <c r="M73" s="39" t="n">
        <f aca="false">IF($H73=1,MAX(0,MIN($G73,EOMONTH(M$5,0))-MAX($F73,M$5)+1)/DAY(EOMONTH(M$5,0)),0)</f>
        <v>1</v>
      </c>
      <c r="N73" s="39" t="n">
        <f aca="false">IF($H73=1,MAX(0,MIN($G73,EOMONTH(N$5,0))-MAX($F73,N$5)+1)/DAY(EOMONTH(N$5,0)),0)</f>
        <v>1</v>
      </c>
      <c r="O73" s="39" t="n">
        <f aca="false">IF($H73=1,MAX(0,MIN($G73,EOMONTH(O$5,0))-MAX($F73,O$5)+1)/DAY(EOMONTH(O$5,0)),0)</f>
        <v>1</v>
      </c>
      <c r="P73" s="39" t="n">
        <f aca="false">IF($H73=1,MAX(0,MIN($G73,EOMONTH(P$5,0))-MAX($F73,P$5)+1)/DAY(EOMONTH(P$5,0)),0)</f>
        <v>1</v>
      </c>
      <c r="Q73" s="39" t="n">
        <f aca="false">IF($H73=1,MAX(0,MIN($G73,EOMONTH(Q$5,0))-MAX($F73,Q$5)+1)/DAY(EOMONTH(Q$5,0)),0)</f>
        <v>1</v>
      </c>
      <c r="R73" s="39" t="n">
        <f aca="false">IF($H73=1,MAX(0,MIN($G73,EOMONTH(R$5,0))-MAX($F73,R$5)+1)/DAY(EOMONTH(R$5,0)),0)</f>
        <v>1</v>
      </c>
      <c r="S73" s="39" t="n">
        <f aca="false">IF($H73=1,MAX(0,MIN($G73,EOMONTH(S$5,0))-MAX($F73,S$5)+1)/DAY(EOMONTH(S$5,0)),0)</f>
        <v>1</v>
      </c>
      <c r="T73" s="39" t="n">
        <f aca="false">IF($H73=1,MAX(0,MIN($G73,EOMONTH(T$5,0))-MAX($F73,T$5)+1)/DAY(EOMONTH(T$5,0)),0)</f>
        <v>1</v>
      </c>
      <c r="U73" s="39" t="n">
        <f aca="false">IF($H73=1,MAX(0,MIN($G73,EOMONTH(U$5,0))-MAX($F73,U$5)+1)/DAY(EOMONTH(U$5,0)),0)</f>
        <v>1</v>
      </c>
      <c r="V73" s="39" t="n">
        <f aca="false">IF($H73=1,MAX(0,MIN($G73,EOMONTH(V$5,0))-MAX($F73,V$5)+1)/DAY(EOMONTH(V$5,0)),0)</f>
        <v>1</v>
      </c>
      <c r="W73" s="40" t="n">
        <f aca="false">$E73/12*K73*IF(AND($J73=1,W$5&gt;=Assumptions!$B$18),1+Assumptions!$B$17,1)</f>
        <v>0</v>
      </c>
      <c r="X73" s="40" t="n">
        <f aca="false">$E73/12*L73*IF(AND($J73=1,X$5&gt;=Assumptions!$B$18),1+Assumptions!$B$17,1)</f>
        <v>0</v>
      </c>
      <c r="Y73" s="40" t="n">
        <f aca="false">$E73/12*M73*IF(AND($J73=1,Y$5&gt;=Assumptions!$B$18),1+Assumptions!$B$17,1)</f>
        <v>6666.66666666667</v>
      </c>
      <c r="Z73" s="40" t="n">
        <f aca="false">$E73/12*N73*IF(AND($J73=1,Z$5&gt;=Assumptions!$B$18),1+Assumptions!$B$17,1)</f>
        <v>6666.66666666667</v>
      </c>
      <c r="AA73" s="40" t="n">
        <f aca="false">$E73/12*O73*IF(AND($J73=1,AA$5&gt;=Assumptions!$B$18),1+Assumptions!$B$17,1)</f>
        <v>6666.66666666667</v>
      </c>
      <c r="AB73" s="40" t="n">
        <f aca="false">$E73/12*P73*IF(AND($J73=1,AB$5&gt;=Assumptions!$B$18),1+Assumptions!$B$17,1)</f>
        <v>6666.66666666667</v>
      </c>
      <c r="AC73" s="40" t="n">
        <f aca="false">$E73/12*Q73*IF(AND($J73=1,AC$5&gt;=Assumptions!$B$18),1+Assumptions!$B$17,1)</f>
        <v>6666.66666666667</v>
      </c>
      <c r="AD73" s="40" t="n">
        <f aca="false">$E73/12*R73*IF(AND($J73=1,AD$5&gt;=Assumptions!$B$18),1+Assumptions!$B$17,1)</f>
        <v>6666.66666666667</v>
      </c>
      <c r="AE73" s="40" t="n">
        <f aca="false">$E73/12*S73*IF(AND($J73=1,AE$5&gt;=Assumptions!$B$18),1+Assumptions!$B$17,1)</f>
        <v>6666.66666666667</v>
      </c>
      <c r="AF73" s="40" t="n">
        <f aca="false">$E73/12*T73*IF(AND($J73=1,AF$5&gt;=Assumptions!$B$18),1+Assumptions!$B$17,1)</f>
        <v>6666.66666666667</v>
      </c>
      <c r="AG73" s="40" t="n">
        <f aca="false">$E73/12*U73*IF(AND($J73=1,AG$5&gt;=Assumptions!$B$18),1+Assumptions!$B$17,1)</f>
        <v>6666.66666666667</v>
      </c>
      <c r="AH73" s="40" t="n">
        <f aca="false">$E73/12*V73*IF(AND($J73=1,AH$5&gt;=Assumptions!$B$18),1+Assumptions!$B$17,1)</f>
        <v>6666.66666666667</v>
      </c>
    </row>
    <row r="74" customFormat="false" ht="15" hidden="false" customHeight="true" outlineLevel="0" collapsed="false">
      <c r="A74" s="13" t="str">
        <f aca="false">Roster!A74</f>
        <v>TBH-SLS-02</v>
      </c>
      <c r="B74" s="13" t="str">
        <f aca="false">Roster!B74</f>
        <v>Sales</v>
      </c>
      <c r="C74" s="13" t="str">
        <f aca="false">Roster!E74</f>
        <v>Open role</v>
      </c>
      <c r="D74" s="34" t="n">
        <f aca="false">Roster!D74</f>
        <v>2</v>
      </c>
      <c r="E74" s="35" t="n">
        <f aca="false">Roster!F74</f>
        <v>83000</v>
      </c>
      <c r="F74" s="36" t="n">
        <f aca="false">IF(Roster!E74="Open role",MAX(Assumptions!$B$14,EDATE(Roster!G74,IF(Roster!I74=2,Assumptions!$F$10,0)-Assumptions!$F$9)),Roster!G74)</f>
        <v>46569</v>
      </c>
      <c r="G74" s="36" t="n">
        <f aca="false">IF(Roster!H74="",DATE(2099,12,31),Roster!H74)</f>
        <v>73050</v>
      </c>
      <c r="H74" s="37" t="n">
        <f aca="false">IF(Roster!E74="Existing",1,IF(Roster!I74&lt;=Assumptions!$F$8,1,0))</f>
        <v>1</v>
      </c>
      <c r="I74" s="38" t="n">
        <f aca="false">IF(B74="Sales",Assumptions!$B$23,VLOOKUP(D74,Assumptions!$A$27:$B$31,2,FALSE()))</f>
        <v>0.3</v>
      </c>
      <c r="J74" s="37" t="n">
        <f aca="false">IF(F74&lt;Assumptions!$B$14,1,0)</f>
        <v>0</v>
      </c>
      <c r="K74" s="39" t="n">
        <f aca="false">IF($H74=1,MAX(0,MIN($G74,EOMONTH(K$5,0))-MAX($F74,K$5)+1)/DAY(EOMONTH(K$5,0)),0)</f>
        <v>0</v>
      </c>
      <c r="L74" s="39" t="n">
        <f aca="false">IF($H74=1,MAX(0,MIN($G74,EOMONTH(L$5,0))-MAX($F74,L$5)+1)/DAY(EOMONTH(L$5,0)),0)</f>
        <v>0</v>
      </c>
      <c r="M74" s="39" t="n">
        <f aca="false">IF($H74=1,MAX(0,MIN($G74,EOMONTH(M$5,0))-MAX($F74,M$5)+1)/DAY(EOMONTH(M$5,0)),0)</f>
        <v>0</v>
      </c>
      <c r="N74" s="39" t="n">
        <f aca="false">IF($H74=1,MAX(0,MIN($G74,EOMONTH(N$5,0))-MAX($F74,N$5)+1)/DAY(EOMONTH(N$5,0)),0)</f>
        <v>0</v>
      </c>
      <c r="O74" s="39" t="n">
        <f aca="false">IF($H74=1,MAX(0,MIN($G74,EOMONTH(O$5,0))-MAX($F74,O$5)+1)/DAY(EOMONTH(O$5,0)),0)</f>
        <v>0</v>
      </c>
      <c r="P74" s="39" t="n">
        <f aca="false">IF($H74=1,MAX(0,MIN($G74,EOMONTH(P$5,0))-MAX($F74,P$5)+1)/DAY(EOMONTH(P$5,0)),0)</f>
        <v>0</v>
      </c>
      <c r="Q74" s="39" t="n">
        <f aca="false">IF($H74=1,MAX(0,MIN($G74,EOMONTH(Q$5,0))-MAX($F74,Q$5)+1)/DAY(EOMONTH(Q$5,0)),0)</f>
        <v>1</v>
      </c>
      <c r="R74" s="39" t="n">
        <f aca="false">IF($H74=1,MAX(0,MIN($G74,EOMONTH(R$5,0))-MAX($F74,R$5)+1)/DAY(EOMONTH(R$5,0)),0)</f>
        <v>1</v>
      </c>
      <c r="S74" s="39" t="n">
        <f aca="false">IF($H74=1,MAX(0,MIN($G74,EOMONTH(S$5,0))-MAX($F74,S$5)+1)/DAY(EOMONTH(S$5,0)),0)</f>
        <v>1</v>
      </c>
      <c r="T74" s="39" t="n">
        <f aca="false">IF($H74=1,MAX(0,MIN($G74,EOMONTH(T$5,0))-MAX($F74,T$5)+1)/DAY(EOMONTH(T$5,0)),0)</f>
        <v>1</v>
      </c>
      <c r="U74" s="39" t="n">
        <f aca="false">IF($H74=1,MAX(0,MIN($G74,EOMONTH(U$5,0))-MAX($F74,U$5)+1)/DAY(EOMONTH(U$5,0)),0)</f>
        <v>1</v>
      </c>
      <c r="V74" s="39" t="n">
        <f aca="false">IF($H74=1,MAX(0,MIN($G74,EOMONTH(V$5,0))-MAX($F74,V$5)+1)/DAY(EOMONTH(V$5,0)),0)</f>
        <v>1</v>
      </c>
      <c r="W74" s="40" t="n">
        <f aca="false">$E74/12*K74*IF(AND($J74=1,W$5&gt;=Assumptions!$B$18),1+Assumptions!$B$17,1)</f>
        <v>0</v>
      </c>
      <c r="X74" s="40" t="n">
        <f aca="false">$E74/12*L74*IF(AND($J74=1,X$5&gt;=Assumptions!$B$18),1+Assumptions!$B$17,1)</f>
        <v>0</v>
      </c>
      <c r="Y74" s="40" t="n">
        <f aca="false">$E74/12*M74*IF(AND($J74=1,Y$5&gt;=Assumptions!$B$18),1+Assumptions!$B$17,1)</f>
        <v>0</v>
      </c>
      <c r="Z74" s="40" t="n">
        <f aca="false">$E74/12*N74*IF(AND($J74=1,Z$5&gt;=Assumptions!$B$18),1+Assumptions!$B$17,1)</f>
        <v>0</v>
      </c>
      <c r="AA74" s="40" t="n">
        <f aca="false">$E74/12*O74*IF(AND($J74=1,AA$5&gt;=Assumptions!$B$18),1+Assumptions!$B$17,1)</f>
        <v>0</v>
      </c>
      <c r="AB74" s="40" t="n">
        <f aca="false">$E74/12*P74*IF(AND($J74=1,AB$5&gt;=Assumptions!$B$18),1+Assumptions!$B$17,1)</f>
        <v>0</v>
      </c>
      <c r="AC74" s="40" t="n">
        <f aca="false">$E74/12*Q74*IF(AND($J74=1,AC$5&gt;=Assumptions!$B$18),1+Assumptions!$B$17,1)</f>
        <v>6916.66666666667</v>
      </c>
      <c r="AD74" s="40" t="n">
        <f aca="false">$E74/12*R74*IF(AND($J74=1,AD$5&gt;=Assumptions!$B$18),1+Assumptions!$B$17,1)</f>
        <v>6916.66666666667</v>
      </c>
      <c r="AE74" s="40" t="n">
        <f aca="false">$E74/12*S74*IF(AND($J74=1,AE$5&gt;=Assumptions!$B$18),1+Assumptions!$B$17,1)</f>
        <v>6916.66666666667</v>
      </c>
      <c r="AF74" s="40" t="n">
        <f aca="false">$E74/12*T74*IF(AND($J74=1,AF$5&gt;=Assumptions!$B$18),1+Assumptions!$B$17,1)</f>
        <v>6916.66666666667</v>
      </c>
      <c r="AG74" s="40" t="n">
        <f aca="false">$E74/12*U74*IF(AND($J74=1,AG$5&gt;=Assumptions!$B$18),1+Assumptions!$B$17,1)</f>
        <v>6916.66666666667</v>
      </c>
      <c r="AH74" s="40" t="n">
        <f aca="false">$E74/12*V74*IF(AND($J74=1,AH$5&gt;=Assumptions!$B$18),1+Assumptions!$B$17,1)</f>
        <v>6916.66666666667</v>
      </c>
    </row>
    <row r="75" customFormat="false" ht="15" hidden="false" customHeight="true" outlineLevel="0" collapsed="false">
      <c r="A75" s="13" t="str">
        <f aca="false">Roster!A75</f>
        <v>TBH-SLS-03</v>
      </c>
      <c r="B75" s="13" t="str">
        <f aca="false">Roster!B75</f>
        <v>Sales</v>
      </c>
      <c r="C75" s="13" t="str">
        <f aca="false">Roster!E75</f>
        <v>Open role</v>
      </c>
      <c r="D75" s="34" t="n">
        <f aca="false">Roster!D75</f>
        <v>2</v>
      </c>
      <c r="E75" s="35" t="n">
        <f aca="false">Roster!F75</f>
        <v>81000</v>
      </c>
      <c r="F75" s="36" t="n">
        <f aca="false">IF(Roster!E75="Open role",MAX(Assumptions!$B$14,EDATE(Roster!G75,IF(Roster!I75=2,Assumptions!$F$10,0)-Assumptions!$F$9)),Roster!G75)</f>
        <v>46539</v>
      </c>
      <c r="G75" s="36" t="n">
        <f aca="false">IF(Roster!H75="",DATE(2099,12,31),Roster!H75)</f>
        <v>73050</v>
      </c>
      <c r="H75" s="37" t="n">
        <f aca="false">IF(Roster!E75="Existing",1,IF(Roster!I75&lt;=Assumptions!$F$8,1,0))</f>
        <v>1</v>
      </c>
      <c r="I75" s="38" t="n">
        <f aca="false">IF(B75="Sales",Assumptions!$B$23,VLOOKUP(D75,Assumptions!$A$27:$B$31,2,FALSE()))</f>
        <v>0.3</v>
      </c>
      <c r="J75" s="37" t="n">
        <f aca="false">IF(F75&lt;Assumptions!$B$14,1,0)</f>
        <v>0</v>
      </c>
      <c r="K75" s="39" t="n">
        <f aca="false">IF($H75=1,MAX(0,MIN($G75,EOMONTH(K$5,0))-MAX($F75,K$5)+1)/DAY(EOMONTH(K$5,0)),0)</f>
        <v>0</v>
      </c>
      <c r="L75" s="39" t="n">
        <f aca="false">IF($H75=1,MAX(0,MIN($G75,EOMONTH(L$5,0))-MAX($F75,L$5)+1)/DAY(EOMONTH(L$5,0)),0)</f>
        <v>0</v>
      </c>
      <c r="M75" s="39" t="n">
        <f aca="false">IF($H75=1,MAX(0,MIN($G75,EOMONTH(M$5,0))-MAX($F75,M$5)+1)/DAY(EOMONTH(M$5,0)),0)</f>
        <v>0</v>
      </c>
      <c r="N75" s="39" t="n">
        <f aca="false">IF($H75=1,MAX(0,MIN($G75,EOMONTH(N$5,0))-MAX($F75,N$5)+1)/DAY(EOMONTH(N$5,0)),0)</f>
        <v>0</v>
      </c>
      <c r="O75" s="39" t="n">
        <f aca="false">IF($H75=1,MAX(0,MIN($G75,EOMONTH(O$5,0))-MAX($F75,O$5)+1)/DAY(EOMONTH(O$5,0)),0)</f>
        <v>0</v>
      </c>
      <c r="P75" s="39" t="n">
        <f aca="false">IF($H75=1,MAX(0,MIN($G75,EOMONTH(P$5,0))-MAX($F75,P$5)+1)/DAY(EOMONTH(P$5,0)),0)</f>
        <v>1</v>
      </c>
      <c r="Q75" s="39" t="n">
        <f aca="false">IF($H75=1,MAX(0,MIN($G75,EOMONTH(Q$5,0))-MAX($F75,Q$5)+1)/DAY(EOMONTH(Q$5,0)),0)</f>
        <v>1</v>
      </c>
      <c r="R75" s="39" t="n">
        <f aca="false">IF($H75=1,MAX(0,MIN($G75,EOMONTH(R$5,0))-MAX($F75,R$5)+1)/DAY(EOMONTH(R$5,0)),0)</f>
        <v>1</v>
      </c>
      <c r="S75" s="39" t="n">
        <f aca="false">IF($H75=1,MAX(0,MIN($G75,EOMONTH(S$5,0))-MAX($F75,S$5)+1)/DAY(EOMONTH(S$5,0)),0)</f>
        <v>1</v>
      </c>
      <c r="T75" s="39" t="n">
        <f aca="false">IF($H75=1,MAX(0,MIN($G75,EOMONTH(T$5,0))-MAX($F75,T$5)+1)/DAY(EOMONTH(T$5,0)),0)</f>
        <v>1</v>
      </c>
      <c r="U75" s="39" t="n">
        <f aca="false">IF($H75=1,MAX(0,MIN($G75,EOMONTH(U$5,0))-MAX($F75,U$5)+1)/DAY(EOMONTH(U$5,0)),0)</f>
        <v>1</v>
      </c>
      <c r="V75" s="39" t="n">
        <f aca="false">IF($H75=1,MAX(0,MIN($G75,EOMONTH(V$5,0))-MAX($F75,V$5)+1)/DAY(EOMONTH(V$5,0)),0)</f>
        <v>1</v>
      </c>
      <c r="W75" s="40" t="n">
        <f aca="false">$E75/12*K75*IF(AND($J75=1,W$5&gt;=Assumptions!$B$18),1+Assumptions!$B$17,1)</f>
        <v>0</v>
      </c>
      <c r="X75" s="40" t="n">
        <f aca="false">$E75/12*L75*IF(AND($J75=1,X$5&gt;=Assumptions!$B$18),1+Assumptions!$B$17,1)</f>
        <v>0</v>
      </c>
      <c r="Y75" s="40" t="n">
        <f aca="false">$E75/12*M75*IF(AND($J75=1,Y$5&gt;=Assumptions!$B$18),1+Assumptions!$B$17,1)</f>
        <v>0</v>
      </c>
      <c r="Z75" s="40" t="n">
        <f aca="false">$E75/12*N75*IF(AND($J75=1,Z$5&gt;=Assumptions!$B$18),1+Assumptions!$B$17,1)</f>
        <v>0</v>
      </c>
      <c r="AA75" s="40" t="n">
        <f aca="false">$E75/12*O75*IF(AND($J75=1,AA$5&gt;=Assumptions!$B$18),1+Assumptions!$B$17,1)</f>
        <v>0</v>
      </c>
      <c r="AB75" s="40" t="n">
        <f aca="false">$E75/12*P75*IF(AND($J75=1,AB$5&gt;=Assumptions!$B$18),1+Assumptions!$B$17,1)</f>
        <v>6750</v>
      </c>
      <c r="AC75" s="40" t="n">
        <f aca="false">$E75/12*Q75*IF(AND($J75=1,AC$5&gt;=Assumptions!$B$18),1+Assumptions!$B$17,1)</f>
        <v>6750</v>
      </c>
      <c r="AD75" s="40" t="n">
        <f aca="false">$E75/12*R75*IF(AND($J75=1,AD$5&gt;=Assumptions!$B$18),1+Assumptions!$B$17,1)</f>
        <v>6750</v>
      </c>
      <c r="AE75" s="40" t="n">
        <f aca="false">$E75/12*S75*IF(AND($J75=1,AE$5&gt;=Assumptions!$B$18),1+Assumptions!$B$17,1)</f>
        <v>6750</v>
      </c>
      <c r="AF75" s="40" t="n">
        <f aca="false">$E75/12*T75*IF(AND($J75=1,AF$5&gt;=Assumptions!$B$18),1+Assumptions!$B$17,1)</f>
        <v>6750</v>
      </c>
      <c r="AG75" s="40" t="n">
        <f aca="false">$E75/12*U75*IF(AND($J75=1,AG$5&gt;=Assumptions!$B$18),1+Assumptions!$B$17,1)</f>
        <v>6750</v>
      </c>
      <c r="AH75" s="40" t="n">
        <f aca="false">$E75/12*V75*IF(AND($J75=1,AH$5&gt;=Assumptions!$B$18),1+Assumptions!$B$17,1)</f>
        <v>6750</v>
      </c>
    </row>
    <row r="76" customFormat="false" ht="15" hidden="false" customHeight="true" outlineLevel="0" collapsed="false">
      <c r="A76" s="13" t="str">
        <f aca="false">Roster!A76</f>
        <v>TBH-SLS-04</v>
      </c>
      <c r="B76" s="13" t="str">
        <f aca="false">Roster!B76</f>
        <v>Sales</v>
      </c>
      <c r="C76" s="13" t="str">
        <f aca="false">Roster!E76</f>
        <v>Open role</v>
      </c>
      <c r="D76" s="34" t="n">
        <f aca="false">Roster!D76</f>
        <v>1</v>
      </c>
      <c r="E76" s="35" t="n">
        <f aca="false">Roster!F76</f>
        <v>62500</v>
      </c>
      <c r="F76" s="36" t="n">
        <f aca="false">IF(Roster!E76="Open role",MAX(Assumptions!$B$14,EDATE(Roster!G76,IF(Roster!I76=2,Assumptions!$F$10,0)-Assumptions!$F$9)),Roster!G76)</f>
        <v>46631</v>
      </c>
      <c r="G76" s="36" t="n">
        <f aca="false">IF(Roster!H76="",DATE(2099,12,31),Roster!H76)</f>
        <v>73050</v>
      </c>
      <c r="H76" s="37" t="n">
        <f aca="false">IF(Roster!E76="Existing",1,IF(Roster!I76&lt;=Assumptions!$F$8,1,0))</f>
        <v>0</v>
      </c>
      <c r="I76" s="38" t="n">
        <f aca="false">IF(B76="Sales",Assumptions!$B$23,VLOOKUP(D76,Assumptions!$A$27:$B$31,2,FALSE()))</f>
        <v>0.3</v>
      </c>
      <c r="J76" s="37" t="n">
        <f aca="false">IF(F76&lt;Assumptions!$B$14,1,0)</f>
        <v>0</v>
      </c>
      <c r="K76" s="39" t="n">
        <f aca="false">IF($H76=1,MAX(0,MIN($G76,EOMONTH(K$5,0))-MAX($F76,K$5)+1)/DAY(EOMONTH(K$5,0)),0)</f>
        <v>0</v>
      </c>
      <c r="L76" s="39" t="n">
        <f aca="false">IF($H76=1,MAX(0,MIN($G76,EOMONTH(L$5,0))-MAX($F76,L$5)+1)/DAY(EOMONTH(L$5,0)),0)</f>
        <v>0</v>
      </c>
      <c r="M76" s="39" t="n">
        <f aca="false">IF($H76=1,MAX(0,MIN($G76,EOMONTH(M$5,0))-MAX($F76,M$5)+1)/DAY(EOMONTH(M$5,0)),0)</f>
        <v>0</v>
      </c>
      <c r="N76" s="39" t="n">
        <f aca="false">IF($H76=1,MAX(0,MIN($G76,EOMONTH(N$5,0))-MAX($F76,N$5)+1)/DAY(EOMONTH(N$5,0)),0)</f>
        <v>0</v>
      </c>
      <c r="O76" s="39" t="n">
        <f aca="false">IF($H76=1,MAX(0,MIN($G76,EOMONTH(O$5,0))-MAX($F76,O$5)+1)/DAY(EOMONTH(O$5,0)),0)</f>
        <v>0</v>
      </c>
      <c r="P76" s="39" t="n">
        <f aca="false">IF($H76=1,MAX(0,MIN($G76,EOMONTH(P$5,0))-MAX($F76,P$5)+1)/DAY(EOMONTH(P$5,0)),0)</f>
        <v>0</v>
      </c>
      <c r="Q76" s="39" t="n">
        <f aca="false">IF($H76=1,MAX(0,MIN($G76,EOMONTH(Q$5,0))-MAX($F76,Q$5)+1)/DAY(EOMONTH(Q$5,0)),0)</f>
        <v>0</v>
      </c>
      <c r="R76" s="39" t="n">
        <f aca="false">IF($H76=1,MAX(0,MIN($G76,EOMONTH(R$5,0))-MAX($F76,R$5)+1)/DAY(EOMONTH(R$5,0)),0)</f>
        <v>0</v>
      </c>
      <c r="S76" s="39" t="n">
        <f aca="false">IF($H76=1,MAX(0,MIN($G76,EOMONTH(S$5,0))-MAX($F76,S$5)+1)/DAY(EOMONTH(S$5,0)),0)</f>
        <v>0</v>
      </c>
      <c r="T76" s="39" t="n">
        <f aca="false">IF($H76=1,MAX(0,MIN($G76,EOMONTH(T$5,0))-MAX($F76,T$5)+1)/DAY(EOMONTH(T$5,0)),0)</f>
        <v>0</v>
      </c>
      <c r="U76" s="39" t="n">
        <f aca="false">IF($H76=1,MAX(0,MIN($G76,EOMONTH(U$5,0))-MAX($F76,U$5)+1)/DAY(EOMONTH(U$5,0)),0)</f>
        <v>0</v>
      </c>
      <c r="V76" s="39" t="n">
        <f aca="false">IF($H76=1,MAX(0,MIN($G76,EOMONTH(V$5,0))-MAX($F76,V$5)+1)/DAY(EOMONTH(V$5,0)),0)</f>
        <v>0</v>
      </c>
      <c r="W76" s="40" t="n">
        <f aca="false">$E76/12*K76*IF(AND($J76=1,W$5&gt;=Assumptions!$B$18),1+Assumptions!$B$17,1)</f>
        <v>0</v>
      </c>
      <c r="X76" s="40" t="n">
        <f aca="false">$E76/12*L76*IF(AND($J76=1,X$5&gt;=Assumptions!$B$18),1+Assumptions!$B$17,1)</f>
        <v>0</v>
      </c>
      <c r="Y76" s="40" t="n">
        <f aca="false">$E76/12*M76*IF(AND($J76=1,Y$5&gt;=Assumptions!$B$18),1+Assumptions!$B$17,1)</f>
        <v>0</v>
      </c>
      <c r="Z76" s="40" t="n">
        <f aca="false">$E76/12*N76*IF(AND($J76=1,Z$5&gt;=Assumptions!$B$18),1+Assumptions!$B$17,1)</f>
        <v>0</v>
      </c>
      <c r="AA76" s="40" t="n">
        <f aca="false">$E76/12*O76*IF(AND($J76=1,AA$5&gt;=Assumptions!$B$18),1+Assumptions!$B$17,1)</f>
        <v>0</v>
      </c>
      <c r="AB76" s="40" t="n">
        <f aca="false">$E76/12*P76*IF(AND($J76=1,AB$5&gt;=Assumptions!$B$18),1+Assumptions!$B$17,1)</f>
        <v>0</v>
      </c>
      <c r="AC76" s="40" t="n">
        <f aca="false">$E76/12*Q76*IF(AND($J76=1,AC$5&gt;=Assumptions!$B$18),1+Assumptions!$B$17,1)</f>
        <v>0</v>
      </c>
      <c r="AD76" s="40" t="n">
        <f aca="false">$E76/12*R76*IF(AND($J76=1,AD$5&gt;=Assumptions!$B$18),1+Assumptions!$B$17,1)</f>
        <v>0</v>
      </c>
      <c r="AE76" s="40" t="n">
        <f aca="false">$E76/12*S76*IF(AND($J76=1,AE$5&gt;=Assumptions!$B$18),1+Assumptions!$B$17,1)</f>
        <v>0</v>
      </c>
      <c r="AF76" s="40" t="n">
        <f aca="false">$E76/12*T76*IF(AND($J76=1,AF$5&gt;=Assumptions!$B$18),1+Assumptions!$B$17,1)</f>
        <v>0</v>
      </c>
      <c r="AG76" s="40" t="n">
        <f aca="false">$E76/12*U76*IF(AND($J76=1,AG$5&gt;=Assumptions!$B$18),1+Assumptions!$B$17,1)</f>
        <v>0</v>
      </c>
      <c r="AH76" s="40" t="n">
        <f aca="false">$E76/12*V76*IF(AND($J76=1,AH$5&gt;=Assumptions!$B$18),1+Assumptions!$B$17,1)</f>
        <v>0</v>
      </c>
    </row>
    <row r="77" customFormat="false" ht="15" hidden="false" customHeight="true" outlineLevel="0" collapsed="false">
      <c r="A77" s="13" t="str">
        <f aca="false">Roster!A77</f>
        <v>TBH-MKT-01</v>
      </c>
      <c r="B77" s="13" t="str">
        <f aca="false">Roster!B77</f>
        <v>Marketing</v>
      </c>
      <c r="C77" s="13" t="str">
        <f aca="false">Roster!E77</f>
        <v>Open role</v>
      </c>
      <c r="D77" s="34" t="n">
        <f aca="false">Roster!D77</f>
        <v>2</v>
      </c>
      <c r="E77" s="35" t="n">
        <f aca="false">Roster!F77</f>
        <v>89500</v>
      </c>
      <c r="F77" s="36" t="n">
        <f aca="false">IF(Roster!E77="Open role",MAX(Assumptions!$B$14,EDATE(Roster!G77,IF(Roster!I77=2,Assumptions!$F$10,0)-Assumptions!$F$9)),Roster!G77)</f>
        <v>46478</v>
      </c>
      <c r="G77" s="36" t="n">
        <f aca="false">IF(Roster!H77="",DATE(2099,12,31),Roster!H77)</f>
        <v>73050</v>
      </c>
      <c r="H77" s="37" t="n">
        <f aca="false">IF(Roster!E77="Existing",1,IF(Roster!I77&lt;=Assumptions!$F$8,1,0))</f>
        <v>1</v>
      </c>
      <c r="I77" s="38" t="n">
        <f aca="false">IF(B77="Sales",Assumptions!$B$23,VLOOKUP(D77,Assumptions!$A$27:$B$31,2,FALSE()))</f>
        <v>0.08</v>
      </c>
      <c r="J77" s="37" t="n">
        <f aca="false">IF(F77&lt;Assumptions!$B$14,1,0)</f>
        <v>0</v>
      </c>
      <c r="K77" s="39" t="n">
        <f aca="false">IF($H77=1,MAX(0,MIN($G77,EOMONTH(K$5,0))-MAX($F77,K$5)+1)/DAY(EOMONTH(K$5,0)),0)</f>
        <v>0</v>
      </c>
      <c r="L77" s="39" t="n">
        <f aca="false">IF($H77=1,MAX(0,MIN($G77,EOMONTH(L$5,0))-MAX($F77,L$5)+1)/DAY(EOMONTH(L$5,0)),0)</f>
        <v>0</v>
      </c>
      <c r="M77" s="39" t="n">
        <f aca="false">IF($H77=1,MAX(0,MIN($G77,EOMONTH(M$5,0))-MAX($F77,M$5)+1)/DAY(EOMONTH(M$5,0)),0)</f>
        <v>0</v>
      </c>
      <c r="N77" s="39" t="n">
        <f aca="false">IF($H77=1,MAX(0,MIN($G77,EOMONTH(N$5,0))-MAX($F77,N$5)+1)/DAY(EOMONTH(N$5,0)),0)</f>
        <v>1</v>
      </c>
      <c r="O77" s="39" t="n">
        <f aca="false">IF($H77=1,MAX(0,MIN($G77,EOMONTH(O$5,0))-MAX($F77,O$5)+1)/DAY(EOMONTH(O$5,0)),0)</f>
        <v>1</v>
      </c>
      <c r="P77" s="39" t="n">
        <f aca="false">IF($H77=1,MAX(0,MIN($G77,EOMONTH(P$5,0))-MAX($F77,P$5)+1)/DAY(EOMONTH(P$5,0)),0)</f>
        <v>1</v>
      </c>
      <c r="Q77" s="39" t="n">
        <f aca="false">IF($H77=1,MAX(0,MIN($G77,EOMONTH(Q$5,0))-MAX($F77,Q$5)+1)/DAY(EOMONTH(Q$5,0)),0)</f>
        <v>1</v>
      </c>
      <c r="R77" s="39" t="n">
        <f aca="false">IF($H77=1,MAX(0,MIN($G77,EOMONTH(R$5,0))-MAX($F77,R$5)+1)/DAY(EOMONTH(R$5,0)),0)</f>
        <v>1</v>
      </c>
      <c r="S77" s="39" t="n">
        <f aca="false">IF($H77=1,MAX(0,MIN($G77,EOMONTH(S$5,0))-MAX($F77,S$5)+1)/DAY(EOMONTH(S$5,0)),0)</f>
        <v>1</v>
      </c>
      <c r="T77" s="39" t="n">
        <f aca="false">IF($H77=1,MAX(0,MIN($G77,EOMONTH(T$5,0))-MAX($F77,T$5)+1)/DAY(EOMONTH(T$5,0)),0)</f>
        <v>1</v>
      </c>
      <c r="U77" s="39" t="n">
        <f aca="false">IF($H77=1,MAX(0,MIN($G77,EOMONTH(U$5,0))-MAX($F77,U$5)+1)/DAY(EOMONTH(U$5,0)),0)</f>
        <v>1</v>
      </c>
      <c r="V77" s="39" t="n">
        <f aca="false">IF($H77=1,MAX(0,MIN($G77,EOMONTH(V$5,0))-MAX($F77,V$5)+1)/DAY(EOMONTH(V$5,0)),0)</f>
        <v>1</v>
      </c>
      <c r="W77" s="40" t="n">
        <f aca="false">$E77/12*K77*IF(AND($J77=1,W$5&gt;=Assumptions!$B$18),1+Assumptions!$B$17,1)</f>
        <v>0</v>
      </c>
      <c r="X77" s="40" t="n">
        <f aca="false">$E77/12*L77*IF(AND($J77=1,X$5&gt;=Assumptions!$B$18),1+Assumptions!$B$17,1)</f>
        <v>0</v>
      </c>
      <c r="Y77" s="40" t="n">
        <f aca="false">$E77/12*M77*IF(AND($J77=1,Y$5&gt;=Assumptions!$B$18),1+Assumptions!$B$17,1)</f>
        <v>0</v>
      </c>
      <c r="Z77" s="40" t="n">
        <f aca="false">$E77/12*N77*IF(AND($J77=1,Z$5&gt;=Assumptions!$B$18),1+Assumptions!$B$17,1)</f>
        <v>7458.33333333333</v>
      </c>
      <c r="AA77" s="40" t="n">
        <f aca="false">$E77/12*O77*IF(AND($J77=1,AA$5&gt;=Assumptions!$B$18),1+Assumptions!$B$17,1)</f>
        <v>7458.33333333333</v>
      </c>
      <c r="AB77" s="40" t="n">
        <f aca="false">$E77/12*P77*IF(AND($J77=1,AB$5&gt;=Assumptions!$B$18),1+Assumptions!$B$17,1)</f>
        <v>7458.33333333333</v>
      </c>
      <c r="AC77" s="40" t="n">
        <f aca="false">$E77/12*Q77*IF(AND($J77=1,AC$5&gt;=Assumptions!$B$18),1+Assumptions!$B$17,1)</f>
        <v>7458.33333333333</v>
      </c>
      <c r="AD77" s="40" t="n">
        <f aca="false">$E77/12*R77*IF(AND($J77=1,AD$5&gt;=Assumptions!$B$18),1+Assumptions!$B$17,1)</f>
        <v>7458.33333333333</v>
      </c>
      <c r="AE77" s="40" t="n">
        <f aca="false">$E77/12*S77*IF(AND($J77=1,AE$5&gt;=Assumptions!$B$18),1+Assumptions!$B$17,1)</f>
        <v>7458.33333333333</v>
      </c>
      <c r="AF77" s="40" t="n">
        <f aca="false">$E77/12*T77*IF(AND($J77=1,AF$5&gt;=Assumptions!$B$18),1+Assumptions!$B$17,1)</f>
        <v>7458.33333333333</v>
      </c>
      <c r="AG77" s="40" t="n">
        <f aca="false">$E77/12*U77*IF(AND($J77=1,AG$5&gt;=Assumptions!$B$18),1+Assumptions!$B$17,1)</f>
        <v>7458.33333333333</v>
      </c>
      <c r="AH77" s="40" t="n">
        <f aca="false">$E77/12*V77*IF(AND($J77=1,AH$5&gt;=Assumptions!$B$18),1+Assumptions!$B$17,1)</f>
        <v>7458.33333333333</v>
      </c>
    </row>
    <row r="78" customFormat="false" ht="15" hidden="false" customHeight="true" outlineLevel="0" collapsed="false">
      <c r="A78" s="13" t="str">
        <f aca="false">Roster!A78</f>
        <v>TBH-MKT-02</v>
      </c>
      <c r="B78" s="13" t="str">
        <f aca="false">Roster!B78</f>
        <v>Marketing</v>
      </c>
      <c r="C78" s="13" t="str">
        <f aca="false">Roster!E78</f>
        <v>Open role</v>
      </c>
      <c r="D78" s="34" t="n">
        <f aca="false">Roster!D78</f>
        <v>1</v>
      </c>
      <c r="E78" s="35" t="n">
        <f aca="false">Roster!F78</f>
        <v>70500</v>
      </c>
      <c r="F78" s="36" t="n">
        <f aca="false">IF(Roster!E78="Open role",MAX(Assumptions!$B$14,EDATE(Roster!G78,IF(Roster!I78=2,Assumptions!$F$10,0)-Assumptions!$F$9)),Roster!G78)</f>
        <v>46600</v>
      </c>
      <c r="G78" s="36" t="n">
        <f aca="false">IF(Roster!H78="",DATE(2099,12,31),Roster!H78)</f>
        <v>73050</v>
      </c>
      <c r="H78" s="37" t="n">
        <f aca="false">IF(Roster!E78="Existing",1,IF(Roster!I78&lt;=Assumptions!$F$8,1,0))</f>
        <v>0</v>
      </c>
      <c r="I78" s="38" t="n">
        <f aca="false">IF(B78="Sales",Assumptions!$B$23,VLOOKUP(D78,Assumptions!$A$27:$B$31,2,FALSE()))</f>
        <v>0.05</v>
      </c>
      <c r="J78" s="37" t="n">
        <f aca="false">IF(F78&lt;Assumptions!$B$14,1,0)</f>
        <v>0</v>
      </c>
      <c r="K78" s="39" t="n">
        <f aca="false">IF($H78=1,MAX(0,MIN($G78,EOMONTH(K$5,0))-MAX($F78,K$5)+1)/DAY(EOMONTH(K$5,0)),0)</f>
        <v>0</v>
      </c>
      <c r="L78" s="39" t="n">
        <f aca="false">IF($H78=1,MAX(0,MIN($G78,EOMONTH(L$5,0))-MAX($F78,L$5)+1)/DAY(EOMONTH(L$5,0)),0)</f>
        <v>0</v>
      </c>
      <c r="M78" s="39" t="n">
        <f aca="false">IF($H78=1,MAX(0,MIN($G78,EOMONTH(M$5,0))-MAX($F78,M$5)+1)/DAY(EOMONTH(M$5,0)),0)</f>
        <v>0</v>
      </c>
      <c r="N78" s="39" t="n">
        <f aca="false">IF($H78=1,MAX(0,MIN($G78,EOMONTH(N$5,0))-MAX($F78,N$5)+1)/DAY(EOMONTH(N$5,0)),0)</f>
        <v>0</v>
      </c>
      <c r="O78" s="39" t="n">
        <f aca="false">IF($H78=1,MAX(0,MIN($G78,EOMONTH(O$5,0))-MAX($F78,O$5)+1)/DAY(EOMONTH(O$5,0)),0)</f>
        <v>0</v>
      </c>
      <c r="P78" s="39" t="n">
        <f aca="false">IF($H78=1,MAX(0,MIN($G78,EOMONTH(P$5,0))-MAX($F78,P$5)+1)/DAY(EOMONTH(P$5,0)),0)</f>
        <v>0</v>
      </c>
      <c r="Q78" s="39" t="n">
        <f aca="false">IF($H78=1,MAX(0,MIN($G78,EOMONTH(Q$5,0))-MAX($F78,Q$5)+1)/DAY(EOMONTH(Q$5,0)),0)</f>
        <v>0</v>
      </c>
      <c r="R78" s="39" t="n">
        <f aca="false">IF($H78=1,MAX(0,MIN($G78,EOMONTH(R$5,0))-MAX($F78,R$5)+1)/DAY(EOMONTH(R$5,0)),0)</f>
        <v>0</v>
      </c>
      <c r="S78" s="39" t="n">
        <f aca="false">IF($H78=1,MAX(0,MIN($G78,EOMONTH(S$5,0))-MAX($F78,S$5)+1)/DAY(EOMONTH(S$5,0)),0)</f>
        <v>0</v>
      </c>
      <c r="T78" s="39" t="n">
        <f aca="false">IF($H78=1,MAX(0,MIN($G78,EOMONTH(T$5,0))-MAX($F78,T$5)+1)/DAY(EOMONTH(T$5,0)),0)</f>
        <v>0</v>
      </c>
      <c r="U78" s="39" t="n">
        <f aca="false">IF($H78=1,MAX(0,MIN($G78,EOMONTH(U$5,0))-MAX($F78,U$5)+1)/DAY(EOMONTH(U$5,0)),0)</f>
        <v>0</v>
      </c>
      <c r="V78" s="39" t="n">
        <f aca="false">IF($H78=1,MAX(0,MIN($G78,EOMONTH(V$5,0))-MAX($F78,V$5)+1)/DAY(EOMONTH(V$5,0)),0)</f>
        <v>0</v>
      </c>
      <c r="W78" s="40" t="n">
        <f aca="false">$E78/12*K78*IF(AND($J78=1,W$5&gt;=Assumptions!$B$18),1+Assumptions!$B$17,1)</f>
        <v>0</v>
      </c>
      <c r="X78" s="40" t="n">
        <f aca="false">$E78/12*L78*IF(AND($J78=1,X$5&gt;=Assumptions!$B$18),1+Assumptions!$B$17,1)</f>
        <v>0</v>
      </c>
      <c r="Y78" s="40" t="n">
        <f aca="false">$E78/12*M78*IF(AND($J78=1,Y$5&gt;=Assumptions!$B$18),1+Assumptions!$B$17,1)</f>
        <v>0</v>
      </c>
      <c r="Z78" s="40" t="n">
        <f aca="false">$E78/12*N78*IF(AND($J78=1,Z$5&gt;=Assumptions!$B$18),1+Assumptions!$B$17,1)</f>
        <v>0</v>
      </c>
      <c r="AA78" s="40" t="n">
        <f aca="false">$E78/12*O78*IF(AND($J78=1,AA$5&gt;=Assumptions!$B$18),1+Assumptions!$B$17,1)</f>
        <v>0</v>
      </c>
      <c r="AB78" s="40" t="n">
        <f aca="false">$E78/12*P78*IF(AND($J78=1,AB$5&gt;=Assumptions!$B$18),1+Assumptions!$B$17,1)</f>
        <v>0</v>
      </c>
      <c r="AC78" s="40" t="n">
        <f aca="false">$E78/12*Q78*IF(AND($J78=1,AC$5&gt;=Assumptions!$B$18),1+Assumptions!$B$17,1)</f>
        <v>0</v>
      </c>
      <c r="AD78" s="40" t="n">
        <f aca="false">$E78/12*R78*IF(AND($J78=1,AD$5&gt;=Assumptions!$B$18),1+Assumptions!$B$17,1)</f>
        <v>0</v>
      </c>
      <c r="AE78" s="40" t="n">
        <f aca="false">$E78/12*S78*IF(AND($J78=1,AE$5&gt;=Assumptions!$B$18),1+Assumptions!$B$17,1)</f>
        <v>0</v>
      </c>
      <c r="AF78" s="40" t="n">
        <f aca="false">$E78/12*T78*IF(AND($J78=1,AF$5&gt;=Assumptions!$B$18),1+Assumptions!$B$17,1)</f>
        <v>0</v>
      </c>
      <c r="AG78" s="40" t="n">
        <f aca="false">$E78/12*U78*IF(AND($J78=1,AG$5&gt;=Assumptions!$B$18),1+Assumptions!$B$17,1)</f>
        <v>0</v>
      </c>
      <c r="AH78" s="40" t="n">
        <f aca="false">$E78/12*V78*IF(AND($J78=1,AH$5&gt;=Assumptions!$B$18),1+Assumptions!$B$17,1)</f>
        <v>0</v>
      </c>
    </row>
    <row r="79" customFormat="false" ht="15" hidden="false" customHeight="true" outlineLevel="0" collapsed="false">
      <c r="A79" s="13" t="str">
        <f aca="false">Roster!A79</f>
        <v>TBH-CSX-01</v>
      </c>
      <c r="B79" s="13" t="str">
        <f aca="false">Roster!B79</f>
        <v>Customer Success</v>
      </c>
      <c r="C79" s="13" t="str">
        <f aca="false">Roster!E79</f>
        <v>Open role</v>
      </c>
      <c r="D79" s="34" t="n">
        <f aca="false">Roster!D79</f>
        <v>2</v>
      </c>
      <c r="E79" s="35" t="n">
        <f aca="false">Roster!F79</f>
        <v>80000</v>
      </c>
      <c r="F79" s="36" t="n">
        <f aca="false">IF(Roster!E79="Open role",MAX(Assumptions!$B$14,EDATE(Roster!G79,IF(Roster!I79=2,Assumptions!$F$10,0)-Assumptions!$F$9)),Roster!G79)</f>
        <v>46508</v>
      </c>
      <c r="G79" s="36" t="n">
        <f aca="false">IF(Roster!H79="",DATE(2099,12,31),Roster!H79)</f>
        <v>73050</v>
      </c>
      <c r="H79" s="37" t="n">
        <f aca="false">IF(Roster!E79="Existing",1,IF(Roster!I79&lt;=Assumptions!$F$8,1,0))</f>
        <v>1</v>
      </c>
      <c r="I79" s="38" t="n">
        <f aca="false">IF(B79="Sales",Assumptions!$B$23,VLOOKUP(D79,Assumptions!$A$27:$B$31,2,FALSE()))</f>
        <v>0.08</v>
      </c>
      <c r="J79" s="37" t="n">
        <f aca="false">IF(F79&lt;Assumptions!$B$14,1,0)</f>
        <v>0</v>
      </c>
      <c r="K79" s="39" t="n">
        <f aca="false">IF($H79=1,MAX(0,MIN($G79,EOMONTH(K$5,0))-MAX($F79,K$5)+1)/DAY(EOMONTH(K$5,0)),0)</f>
        <v>0</v>
      </c>
      <c r="L79" s="39" t="n">
        <f aca="false">IF($H79=1,MAX(0,MIN($G79,EOMONTH(L$5,0))-MAX($F79,L$5)+1)/DAY(EOMONTH(L$5,0)),0)</f>
        <v>0</v>
      </c>
      <c r="M79" s="39" t="n">
        <f aca="false">IF($H79=1,MAX(0,MIN($G79,EOMONTH(M$5,0))-MAX($F79,M$5)+1)/DAY(EOMONTH(M$5,0)),0)</f>
        <v>0</v>
      </c>
      <c r="N79" s="39" t="n">
        <f aca="false">IF($H79=1,MAX(0,MIN($G79,EOMONTH(N$5,0))-MAX($F79,N$5)+1)/DAY(EOMONTH(N$5,0)),0)</f>
        <v>0</v>
      </c>
      <c r="O79" s="39" t="n">
        <f aca="false">IF($H79=1,MAX(0,MIN($G79,EOMONTH(O$5,0))-MAX($F79,O$5)+1)/DAY(EOMONTH(O$5,0)),0)</f>
        <v>1</v>
      </c>
      <c r="P79" s="39" t="n">
        <f aca="false">IF($H79=1,MAX(0,MIN($G79,EOMONTH(P$5,0))-MAX($F79,P$5)+1)/DAY(EOMONTH(P$5,0)),0)</f>
        <v>1</v>
      </c>
      <c r="Q79" s="39" t="n">
        <f aca="false">IF($H79=1,MAX(0,MIN($G79,EOMONTH(Q$5,0))-MAX($F79,Q$5)+1)/DAY(EOMONTH(Q$5,0)),0)</f>
        <v>1</v>
      </c>
      <c r="R79" s="39" t="n">
        <f aca="false">IF($H79=1,MAX(0,MIN($G79,EOMONTH(R$5,0))-MAX($F79,R$5)+1)/DAY(EOMONTH(R$5,0)),0)</f>
        <v>1</v>
      </c>
      <c r="S79" s="39" t="n">
        <f aca="false">IF($H79=1,MAX(0,MIN($G79,EOMONTH(S$5,0))-MAX($F79,S$5)+1)/DAY(EOMONTH(S$5,0)),0)</f>
        <v>1</v>
      </c>
      <c r="T79" s="39" t="n">
        <f aca="false">IF($H79=1,MAX(0,MIN($G79,EOMONTH(T$5,0))-MAX($F79,T$5)+1)/DAY(EOMONTH(T$5,0)),0)</f>
        <v>1</v>
      </c>
      <c r="U79" s="39" t="n">
        <f aca="false">IF($H79=1,MAX(0,MIN($G79,EOMONTH(U$5,0))-MAX($F79,U$5)+1)/DAY(EOMONTH(U$5,0)),0)</f>
        <v>1</v>
      </c>
      <c r="V79" s="39" t="n">
        <f aca="false">IF($H79=1,MAX(0,MIN($G79,EOMONTH(V$5,0))-MAX($F79,V$5)+1)/DAY(EOMONTH(V$5,0)),0)</f>
        <v>1</v>
      </c>
      <c r="W79" s="40" t="n">
        <f aca="false">$E79/12*K79*IF(AND($J79=1,W$5&gt;=Assumptions!$B$18),1+Assumptions!$B$17,1)</f>
        <v>0</v>
      </c>
      <c r="X79" s="40" t="n">
        <f aca="false">$E79/12*L79*IF(AND($J79=1,X$5&gt;=Assumptions!$B$18),1+Assumptions!$B$17,1)</f>
        <v>0</v>
      </c>
      <c r="Y79" s="40" t="n">
        <f aca="false">$E79/12*M79*IF(AND($J79=1,Y$5&gt;=Assumptions!$B$18),1+Assumptions!$B$17,1)</f>
        <v>0</v>
      </c>
      <c r="Z79" s="40" t="n">
        <f aca="false">$E79/12*N79*IF(AND($J79=1,Z$5&gt;=Assumptions!$B$18),1+Assumptions!$B$17,1)</f>
        <v>0</v>
      </c>
      <c r="AA79" s="40" t="n">
        <f aca="false">$E79/12*O79*IF(AND($J79=1,AA$5&gt;=Assumptions!$B$18),1+Assumptions!$B$17,1)</f>
        <v>6666.66666666667</v>
      </c>
      <c r="AB79" s="40" t="n">
        <f aca="false">$E79/12*P79*IF(AND($J79=1,AB$5&gt;=Assumptions!$B$18),1+Assumptions!$B$17,1)</f>
        <v>6666.66666666667</v>
      </c>
      <c r="AC79" s="40" t="n">
        <f aca="false">$E79/12*Q79*IF(AND($J79=1,AC$5&gt;=Assumptions!$B$18),1+Assumptions!$B$17,1)</f>
        <v>6666.66666666667</v>
      </c>
      <c r="AD79" s="40" t="n">
        <f aca="false">$E79/12*R79*IF(AND($J79=1,AD$5&gt;=Assumptions!$B$18),1+Assumptions!$B$17,1)</f>
        <v>6666.66666666667</v>
      </c>
      <c r="AE79" s="40" t="n">
        <f aca="false">$E79/12*S79*IF(AND($J79=1,AE$5&gt;=Assumptions!$B$18),1+Assumptions!$B$17,1)</f>
        <v>6666.66666666667</v>
      </c>
      <c r="AF79" s="40" t="n">
        <f aca="false">$E79/12*T79*IF(AND($J79=1,AF$5&gt;=Assumptions!$B$18),1+Assumptions!$B$17,1)</f>
        <v>6666.66666666667</v>
      </c>
      <c r="AG79" s="40" t="n">
        <f aca="false">$E79/12*U79*IF(AND($J79=1,AG$5&gt;=Assumptions!$B$18),1+Assumptions!$B$17,1)</f>
        <v>6666.66666666667</v>
      </c>
      <c r="AH79" s="40" t="n">
        <f aca="false">$E79/12*V79*IF(AND($J79=1,AH$5&gt;=Assumptions!$B$18),1+Assumptions!$B$17,1)</f>
        <v>6666.66666666667</v>
      </c>
    </row>
    <row r="80" customFormat="false" ht="15" hidden="false" customHeight="true" outlineLevel="0" collapsed="false">
      <c r="A80" s="13" t="str">
        <f aca="false">Roster!A80</f>
        <v>TBH-CSX-02</v>
      </c>
      <c r="B80" s="13" t="str">
        <f aca="false">Roster!B80</f>
        <v>Customer Success</v>
      </c>
      <c r="C80" s="13" t="str">
        <f aca="false">Roster!E80</f>
        <v>Open role</v>
      </c>
      <c r="D80" s="34" t="n">
        <f aca="false">Roster!D80</f>
        <v>1</v>
      </c>
      <c r="E80" s="35" t="n">
        <f aca="false">Roster!F80</f>
        <v>63000</v>
      </c>
      <c r="F80" s="36" t="n">
        <f aca="false">IF(Roster!E80="Open role",MAX(Assumptions!$B$14,EDATE(Roster!G80,IF(Roster!I80=2,Assumptions!$F$10,0)-Assumptions!$F$9)),Roster!G80)</f>
        <v>46631</v>
      </c>
      <c r="G80" s="36" t="n">
        <f aca="false">IF(Roster!H80="",DATE(2099,12,31),Roster!H80)</f>
        <v>73050</v>
      </c>
      <c r="H80" s="37" t="n">
        <f aca="false">IF(Roster!E80="Existing",1,IF(Roster!I80&lt;=Assumptions!$F$8,1,0))</f>
        <v>1</v>
      </c>
      <c r="I80" s="38" t="n">
        <f aca="false">IF(B80="Sales",Assumptions!$B$23,VLOOKUP(D80,Assumptions!$A$27:$B$31,2,FALSE()))</f>
        <v>0.05</v>
      </c>
      <c r="J80" s="37" t="n">
        <f aca="false">IF(F80&lt;Assumptions!$B$14,1,0)</f>
        <v>0</v>
      </c>
      <c r="K80" s="39" t="n">
        <f aca="false">IF($H80=1,MAX(0,MIN($G80,EOMONTH(K$5,0))-MAX($F80,K$5)+1)/DAY(EOMONTH(K$5,0)),0)</f>
        <v>0</v>
      </c>
      <c r="L80" s="39" t="n">
        <f aca="false">IF($H80=1,MAX(0,MIN($G80,EOMONTH(L$5,0))-MAX($F80,L$5)+1)/DAY(EOMONTH(L$5,0)),0)</f>
        <v>0</v>
      </c>
      <c r="M80" s="39" t="n">
        <f aca="false">IF($H80=1,MAX(0,MIN($G80,EOMONTH(M$5,0))-MAX($F80,M$5)+1)/DAY(EOMONTH(M$5,0)),0)</f>
        <v>0</v>
      </c>
      <c r="N80" s="39" t="n">
        <f aca="false">IF($H80=1,MAX(0,MIN($G80,EOMONTH(N$5,0))-MAX($F80,N$5)+1)/DAY(EOMONTH(N$5,0)),0)</f>
        <v>0</v>
      </c>
      <c r="O80" s="39" t="n">
        <f aca="false">IF($H80=1,MAX(0,MIN($G80,EOMONTH(O$5,0))-MAX($F80,O$5)+1)/DAY(EOMONTH(O$5,0)),0)</f>
        <v>0</v>
      </c>
      <c r="P80" s="39" t="n">
        <f aca="false">IF($H80=1,MAX(0,MIN($G80,EOMONTH(P$5,0))-MAX($F80,P$5)+1)/DAY(EOMONTH(P$5,0)),0)</f>
        <v>0</v>
      </c>
      <c r="Q80" s="39" t="n">
        <f aca="false">IF($H80=1,MAX(0,MIN($G80,EOMONTH(Q$5,0))-MAX($F80,Q$5)+1)/DAY(EOMONTH(Q$5,0)),0)</f>
        <v>0</v>
      </c>
      <c r="R80" s="39" t="n">
        <f aca="false">IF($H80=1,MAX(0,MIN($G80,EOMONTH(R$5,0))-MAX($F80,R$5)+1)/DAY(EOMONTH(R$5,0)),0)</f>
        <v>0</v>
      </c>
      <c r="S80" s="39" t="n">
        <f aca="false">IF($H80=1,MAX(0,MIN($G80,EOMONTH(S$5,0))-MAX($F80,S$5)+1)/DAY(EOMONTH(S$5,0)),0)</f>
        <v>1</v>
      </c>
      <c r="T80" s="39" t="n">
        <f aca="false">IF($H80=1,MAX(0,MIN($G80,EOMONTH(T$5,0))-MAX($F80,T$5)+1)/DAY(EOMONTH(T$5,0)),0)</f>
        <v>1</v>
      </c>
      <c r="U80" s="39" t="n">
        <f aca="false">IF($H80=1,MAX(0,MIN($G80,EOMONTH(U$5,0))-MAX($F80,U$5)+1)/DAY(EOMONTH(U$5,0)),0)</f>
        <v>1</v>
      </c>
      <c r="V80" s="39" t="n">
        <f aca="false">IF($H80=1,MAX(0,MIN($G80,EOMONTH(V$5,0))-MAX($F80,V$5)+1)/DAY(EOMONTH(V$5,0)),0)</f>
        <v>1</v>
      </c>
      <c r="W80" s="40" t="n">
        <f aca="false">$E80/12*K80*IF(AND($J80=1,W$5&gt;=Assumptions!$B$18),1+Assumptions!$B$17,1)</f>
        <v>0</v>
      </c>
      <c r="X80" s="40" t="n">
        <f aca="false">$E80/12*L80*IF(AND($J80=1,X$5&gt;=Assumptions!$B$18),1+Assumptions!$B$17,1)</f>
        <v>0</v>
      </c>
      <c r="Y80" s="40" t="n">
        <f aca="false">$E80/12*M80*IF(AND($J80=1,Y$5&gt;=Assumptions!$B$18),1+Assumptions!$B$17,1)</f>
        <v>0</v>
      </c>
      <c r="Z80" s="40" t="n">
        <f aca="false">$E80/12*N80*IF(AND($J80=1,Z$5&gt;=Assumptions!$B$18),1+Assumptions!$B$17,1)</f>
        <v>0</v>
      </c>
      <c r="AA80" s="40" t="n">
        <f aca="false">$E80/12*O80*IF(AND($J80=1,AA$5&gt;=Assumptions!$B$18),1+Assumptions!$B$17,1)</f>
        <v>0</v>
      </c>
      <c r="AB80" s="40" t="n">
        <f aca="false">$E80/12*P80*IF(AND($J80=1,AB$5&gt;=Assumptions!$B$18),1+Assumptions!$B$17,1)</f>
        <v>0</v>
      </c>
      <c r="AC80" s="40" t="n">
        <f aca="false">$E80/12*Q80*IF(AND($J80=1,AC$5&gt;=Assumptions!$B$18),1+Assumptions!$B$17,1)</f>
        <v>0</v>
      </c>
      <c r="AD80" s="40" t="n">
        <f aca="false">$E80/12*R80*IF(AND($J80=1,AD$5&gt;=Assumptions!$B$18),1+Assumptions!$B$17,1)</f>
        <v>0</v>
      </c>
      <c r="AE80" s="40" t="n">
        <f aca="false">$E80/12*S80*IF(AND($J80=1,AE$5&gt;=Assumptions!$B$18),1+Assumptions!$B$17,1)</f>
        <v>5250</v>
      </c>
      <c r="AF80" s="40" t="n">
        <f aca="false">$E80/12*T80*IF(AND($J80=1,AF$5&gt;=Assumptions!$B$18),1+Assumptions!$B$17,1)</f>
        <v>5250</v>
      </c>
      <c r="AG80" s="40" t="n">
        <f aca="false">$E80/12*U80*IF(AND($J80=1,AG$5&gt;=Assumptions!$B$18),1+Assumptions!$B$17,1)</f>
        <v>5250</v>
      </c>
      <c r="AH80" s="40" t="n">
        <f aca="false">$E80/12*V80*IF(AND($J80=1,AH$5&gt;=Assumptions!$B$18),1+Assumptions!$B$17,1)</f>
        <v>5250</v>
      </c>
    </row>
    <row r="81" customFormat="false" ht="15" hidden="false" customHeight="true" outlineLevel="0" collapsed="false">
      <c r="A81" s="13" t="str">
        <f aca="false">Roster!A81</f>
        <v>TBH-CSX-03</v>
      </c>
      <c r="B81" s="13" t="str">
        <f aca="false">Roster!B81</f>
        <v>Customer Success</v>
      </c>
      <c r="C81" s="13" t="str">
        <f aca="false">Roster!E81</f>
        <v>Open role</v>
      </c>
      <c r="D81" s="34" t="n">
        <f aca="false">Roster!D81</f>
        <v>1</v>
      </c>
      <c r="E81" s="35" t="n">
        <f aca="false">Roster!F81</f>
        <v>61000</v>
      </c>
      <c r="F81" s="36" t="n">
        <f aca="false">IF(Roster!E81="Open role",MAX(Assumptions!$B$14,EDATE(Roster!G81,IF(Roster!I81=2,Assumptions!$F$10,0)-Assumptions!$F$9)),Roster!G81)</f>
        <v>46661</v>
      </c>
      <c r="G81" s="36" t="n">
        <f aca="false">IF(Roster!H81="",DATE(2099,12,31),Roster!H81)</f>
        <v>73050</v>
      </c>
      <c r="H81" s="37" t="n">
        <f aca="false">IF(Roster!E81="Existing",1,IF(Roster!I81&lt;=Assumptions!$F$8,1,0))</f>
        <v>0</v>
      </c>
      <c r="I81" s="38" t="n">
        <f aca="false">IF(B81="Sales",Assumptions!$B$23,VLOOKUP(D81,Assumptions!$A$27:$B$31,2,FALSE()))</f>
        <v>0.05</v>
      </c>
      <c r="J81" s="37" t="n">
        <f aca="false">IF(F81&lt;Assumptions!$B$14,1,0)</f>
        <v>0</v>
      </c>
      <c r="K81" s="39" t="n">
        <f aca="false">IF($H81=1,MAX(0,MIN($G81,EOMONTH(K$5,0))-MAX($F81,K$5)+1)/DAY(EOMONTH(K$5,0)),0)</f>
        <v>0</v>
      </c>
      <c r="L81" s="39" t="n">
        <f aca="false">IF($H81=1,MAX(0,MIN($G81,EOMONTH(L$5,0))-MAX($F81,L$5)+1)/DAY(EOMONTH(L$5,0)),0)</f>
        <v>0</v>
      </c>
      <c r="M81" s="39" t="n">
        <f aca="false">IF($H81=1,MAX(0,MIN($G81,EOMONTH(M$5,0))-MAX($F81,M$5)+1)/DAY(EOMONTH(M$5,0)),0)</f>
        <v>0</v>
      </c>
      <c r="N81" s="39" t="n">
        <f aca="false">IF($H81=1,MAX(0,MIN($G81,EOMONTH(N$5,0))-MAX($F81,N$5)+1)/DAY(EOMONTH(N$5,0)),0)</f>
        <v>0</v>
      </c>
      <c r="O81" s="39" t="n">
        <f aca="false">IF($H81=1,MAX(0,MIN($G81,EOMONTH(O$5,0))-MAX($F81,O$5)+1)/DAY(EOMONTH(O$5,0)),0)</f>
        <v>0</v>
      </c>
      <c r="P81" s="39" t="n">
        <f aca="false">IF($H81=1,MAX(0,MIN($G81,EOMONTH(P$5,0))-MAX($F81,P$5)+1)/DAY(EOMONTH(P$5,0)),0)</f>
        <v>0</v>
      </c>
      <c r="Q81" s="39" t="n">
        <f aca="false">IF($H81=1,MAX(0,MIN($G81,EOMONTH(Q$5,0))-MAX($F81,Q$5)+1)/DAY(EOMONTH(Q$5,0)),0)</f>
        <v>0</v>
      </c>
      <c r="R81" s="39" t="n">
        <f aca="false">IF($H81=1,MAX(0,MIN($G81,EOMONTH(R$5,0))-MAX($F81,R$5)+1)/DAY(EOMONTH(R$5,0)),0)</f>
        <v>0</v>
      </c>
      <c r="S81" s="39" t="n">
        <f aca="false">IF($H81=1,MAX(0,MIN($G81,EOMONTH(S$5,0))-MAX($F81,S$5)+1)/DAY(EOMONTH(S$5,0)),0)</f>
        <v>0</v>
      </c>
      <c r="T81" s="39" t="n">
        <f aca="false">IF($H81=1,MAX(0,MIN($G81,EOMONTH(T$5,0))-MAX($F81,T$5)+1)/DAY(EOMONTH(T$5,0)),0)</f>
        <v>0</v>
      </c>
      <c r="U81" s="39" t="n">
        <f aca="false">IF($H81=1,MAX(0,MIN($G81,EOMONTH(U$5,0))-MAX($F81,U$5)+1)/DAY(EOMONTH(U$5,0)),0)</f>
        <v>0</v>
      </c>
      <c r="V81" s="39" t="n">
        <f aca="false">IF($H81=1,MAX(0,MIN($G81,EOMONTH(V$5,0))-MAX($F81,V$5)+1)/DAY(EOMONTH(V$5,0)),0)</f>
        <v>0</v>
      </c>
      <c r="W81" s="40" t="n">
        <f aca="false">$E81/12*K81*IF(AND($J81=1,W$5&gt;=Assumptions!$B$18),1+Assumptions!$B$17,1)</f>
        <v>0</v>
      </c>
      <c r="X81" s="40" t="n">
        <f aca="false">$E81/12*L81*IF(AND($J81=1,X$5&gt;=Assumptions!$B$18),1+Assumptions!$B$17,1)</f>
        <v>0</v>
      </c>
      <c r="Y81" s="40" t="n">
        <f aca="false">$E81/12*M81*IF(AND($J81=1,Y$5&gt;=Assumptions!$B$18),1+Assumptions!$B$17,1)</f>
        <v>0</v>
      </c>
      <c r="Z81" s="40" t="n">
        <f aca="false">$E81/12*N81*IF(AND($J81=1,Z$5&gt;=Assumptions!$B$18),1+Assumptions!$B$17,1)</f>
        <v>0</v>
      </c>
      <c r="AA81" s="40" t="n">
        <f aca="false">$E81/12*O81*IF(AND($J81=1,AA$5&gt;=Assumptions!$B$18),1+Assumptions!$B$17,1)</f>
        <v>0</v>
      </c>
      <c r="AB81" s="40" t="n">
        <f aca="false">$E81/12*P81*IF(AND($J81=1,AB$5&gt;=Assumptions!$B$18),1+Assumptions!$B$17,1)</f>
        <v>0</v>
      </c>
      <c r="AC81" s="40" t="n">
        <f aca="false">$E81/12*Q81*IF(AND($J81=1,AC$5&gt;=Assumptions!$B$18),1+Assumptions!$B$17,1)</f>
        <v>0</v>
      </c>
      <c r="AD81" s="40" t="n">
        <f aca="false">$E81/12*R81*IF(AND($J81=1,AD$5&gt;=Assumptions!$B$18),1+Assumptions!$B$17,1)</f>
        <v>0</v>
      </c>
      <c r="AE81" s="40" t="n">
        <f aca="false">$E81/12*S81*IF(AND($J81=1,AE$5&gt;=Assumptions!$B$18),1+Assumptions!$B$17,1)</f>
        <v>0</v>
      </c>
      <c r="AF81" s="40" t="n">
        <f aca="false">$E81/12*T81*IF(AND($J81=1,AF$5&gt;=Assumptions!$B$18),1+Assumptions!$B$17,1)</f>
        <v>0</v>
      </c>
      <c r="AG81" s="40" t="n">
        <f aca="false">$E81/12*U81*IF(AND($J81=1,AG$5&gt;=Assumptions!$B$18),1+Assumptions!$B$17,1)</f>
        <v>0</v>
      </c>
      <c r="AH81" s="40" t="n">
        <f aca="false">$E81/12*V81*IF(AND($J81=1,AH$5&gt;=Assumptions!$B$18),1+Assumptions!$B$17,1)</f>
        <v>0</v>
      </c>
    </row>
    <row r="82" customFormat="false" ht="15" hidden="false" customHeight="true" outlineLevel="0" collapsed="false">
      <c r="A82" s="13" t="str">
        <f aca="false">Roster!A82</f>
        <v>TBH-GNA-01</v>
      </c>
      <c r="B82" s="13" t="str">
        <f aca="false">Roster!B82</f>
        <v>G&amp;A</v>
      </c>
      <c r="C82" s="13" t="str">
        <f aca="false">Roster!E82</f>
        <v>Open role</v>
      </c>
      <c r="D82" s="34" t="n">
        <f aca="false">Roster!D82</f>
        <v>3</v>
      </c>
      <c r="E82" s="35" t="n">
        <f aca="false">Roster!F82</f>
        <v>120500</v>
      </c>
      <c r="F82" s="36" t="n">
        <f aca="false">IF(Roster!E82="Open role",MAX(Assumptions!$B$14,EDATE(Roster!G82,IF(Roster!I82=2,Assumptions!$F$10,0)-Assumptions!$F$9)),Roster!G82)</f>
        <v>46419</v>
      </c>
      <c r="G82" s="36" t="n">
        <f aca="false">IF(Roster!H82="",DATE(2099,12,31),Roster!H82)</f>
        <v>73050</v>
      </c>
      <c r="H82" s="37" t="n">
        <f aca="false">IF(Roster!E82="Existing",1,IF(Roster!I82&lt;=Assumptions!$F$8,1,0))</f>
        <v>1</v>
      </c>
      <c r="I82" s="38" t="n">
        <f aca="false">IF(B82="Sales",Assumptions!$B$23,VLOOKUP(D82,Assumptions!$A$27:$B$31,2,FALSE()))</f>
        <v>0.1</v>
      </c>
      <c r="J82" s="37" t="n">
        <f aca="false">IF(F82&lt;Assumptions!$B$14,1,0)</f>
        <v>0</v>
      </c>
      <c r="K82" s="39" t="n">
        <f aca="false">IF($H82=1,MAX(0,MIN($G82,EOMONTH(K$5,0))-MAX($F82,K$5)+1)/DAY(EOMONTH(K$5,0)),0)</f>
        <v>0</v>
      </c>
      <c r="L82" s="39" t="n">
        <f aca="false">IF($H82=1,MAX(0,MIN($G82,EOMONTH(L$5,0))-MAX($F82,L$5)+1)/DAY(EOMONTH(L$5,0)),0)</f>
        <v>1</v>
      </c>
      <c r="M82" s="39" t="n">
        <f aca="false">IF($H82=1,MAX(0,MIN($G82,EOMONTH(M$5,0))-MAX($F82,M$5)+1)/DAY(EOMONTH(M$5,0)),0)</f>
        <v>1</v>
      </c>
      <c r="N82" s="39" t="n">
        <f aca="false">IF($H82=1,MAX(0,MIN($G82,EOMONTH(N$5,0))-MAX($F82,N$5)+1)/DAY(EOMONTH(N$5,0)),0)</f>
        <v>1</v>
      </c>
      <c r="O82" s="39" t="n">
        <f aca="false">IF($H82=1,MAX(0,MIN($G82,EOMONTH(O$5,0))-MAX($F82,O$5)+1)/DAY(EOMONTH(O$5,0)),0)</f>
        <v>1</v>
      </c>
      <c r="P82" s="39" t="n">
        <f aca="false">IF($H82=1,MAX(0,MIN($G82,EOMONTH(P$5,0))-MAX($F82,P$5)+1)/DAY(EOMONTH(P$5,0)),0)</f>
        <v>1</v>
      </c>
      <c r="Q82" s="39" t="n">
        <f aca="false">IF($H82=1,MAX(0,MIN($G82,EOMONTH(Q$5,0))-MAX($F82,Q$5)+1)/DAY(EOMONTH(Q$5,0)),0)</f>
        <v>1</v>
      </c>
      <c r="R82" s="39" t="n">
        <f aca="false">IF($H82=1,MAX(0,MIN($G82,EOMONTH(R$5,0))-MAX($F82,R$5)+1)/DAY(EOMONTH(R$5,0)),0)</f>
        <v>1</v>
      </c>
      <c r="S82" s="39" t="n">
        <f aca="false">IF($H82=1,MAX(0,MIN($G82,EOMONTH(S$5,0))-MAX($F82,S$5)+1)/DAY(EOMONTH(S$5,0)),0)</f>
        <v>1</v>
      </c>
      <c r="T82" s="39" t="n">
        <f aca="false">IF($H82=1,MAX(0,MIN($G82,EOMONTH(T$5,0))-MAX($F82,T$5)+1)/DAY(EOMONTH(T$5,0)),0)</f>
        <v>1</v>
      </c>
      <c r="U82" s="39" t="n">
        <f aca="false">IF($H82=1,MAX(0,MIN($G82,EOMONTH(U$5,0))-MAX($F82,U$5)+1)/DAY(EOMONTH(U$5,0)),0)</f>
        <v>1</v>
      </c>
      <c r="V82" s="39" t="n">
        <f aca="false">IF($H82=1,MAX(0,MIN($G82,EOMONTH(V$5,0))-MAX($F82,V$5)+1)/DAY(EOMONTH(V$5,0)),0)</f>
        <v>1</v>
      </c>
      <c r="W82" s="40" t="n">
        <f aca="false">$E82/12*K82*IF(AND($J82=1,W$5&gt;=Assumptions!$B$18),1+Assumptions!$B$17,1)</f>
        <v>0</v>
      </c>
      <c r="X82" s="40" t="n">
        <f aca="false">$E82/12*L82*IF(AND($J82=1,X$5&gt;=Assumptions!$B$18),1+Assumptions!$B$17,1)</f>
        <v>10041.6666666667</v>
      </c>
      <c r="Y82" s="40" t="n">
        <f aca="false">$E82/12*M82*IF(AND($J82=1,Y$5&gt;=Assumptions!$B$18),1+Assumptions!$B$17,1)</f>
        <v>10041.6666666667</v>
      </c>
      <c r="Z82" s="40" t="n">
        <f aca="false">$E82/12*N82*IF(AND($J82=1,Z$5&gt;=Assumptions!$B$18),1+Assumptions!$B$17,1)</f>
        <v>10041.6666666667</v>
      </c>
      <c r="AA82" s="40" t="n">
        <f aca="false">$E82/12*O82*IF(AND($J82=1,AA$5&gt;=Assumptions!$B$18),1+Assumptions!$B$17,1)</f>
        <v>10041.6666666667</v>
      </c>
      <c r="AB82" s="40" t="n">
        <f aca="false">$E82/12*P82*IF(AND($J82=1,AB$5&gt;=Assumptions!$B$18),1+Assumptions!$B$17,1)</f>
        <v>10041.6666666667</v>
      </c>
      <c r="AC82" s="40" t="n">
        <f aca="false">$E82/12*Q82*IF(AND($J82=1,AC$5&gt;=Assumptions!$B$18),1+Assumptions!$B$17,1)</f>
        <v>10041.6666666667</v>
      </c>
      <c r="AD82" s="40" t="n">
        <f aca="false">$E82/12*R82*IF(AND($J82=1,AD$5&gt;=Assumptions!$B$18),1+Assumptions!$B$17,1)</f>
        <v>10041.6666666667</v>
      </c>
      <c r="AE82" s="40" t="n">
        <f aca="false">$E82/12*S82*IF(AND($J82=1,AE$5&gt;=Assumptions!$B$18),1+Assumptions!$B$17,1)</f>
        <v>10041.6666666667</v>
      </c>
      <c r="AF82" s="40" t="n">
        <f aca="false">$E82/12*T82*IF(AND($J82=1,AF$5&gt;=Assumptions!$B$18),1+Assumptions!$B$17,1)</f>
        <v>10041.6666666667</v>
      </c>
      <c r="AG82" s="40" t="n">
        <f aca="false">$E82/12*U82*IF(AND($J82=1,AG$5&gt;=Assumptions!$B$18),1+Assumptions!$B$17,1)</f>
        <v>10041.6666666667</v>
      </c>
      <c r="AH82" s="40" t="n">
        <f aca="false">$E82/12*V82*IF(AND($J82=1,AH$5&gt;=Assumptions!$B$18),1+Assumptions!$B$17,1)</f>
        <v>10041.6666666667</v>
      </c>
    </row>
    <row r="83" customFormat="false" ht="15" hidden="false" customHeight="true" outlineLevel="0" collapsed="false">
      <c r="A83" s="13" t="str">
        <f aca="false">Roster!A83</f>
        <v>TBH-GNA-02</v>
      </c>
      <c r="B83" s="13" t="str">
        <f aca="false">Roster!B83</f>
        <v>G&amp;A</v>
      </c>
      <c r="C83" s="13" t="str">
        <f aca="false">Roster!E83</f>
        <v>Open role</v>
      </c>
      <c r="D83" s="34" t="n">
        <f aca="false">Roster!D83</f>
        <v>2</v>
      </c>
      <c r="E83" s="35" t="n">
        <f aca="false">Roster!F83</f>
        <v>93000</v>
      </c>
      <c r="F83" s="36" t="n">
        <f aca="false">IF(Roster!E83="Open role",MAX(Assumptions!$B$14,EDATE(Roster!G83,IF(Roster!I83=2,Assumptions!$F$10,0)-Assumptions!$F$9)),Roster!G83)</f>
        <v>46539</v>
      </c>
      <c r="G83" s="36" t="n">
        <f aca="false">IF(Roster!H83="",DATE(2099,12,31),Roster!H83)</f>
        <v>73050</v>
      </c>
      <c r="H83" s="37" t="n">
        <f aca="false">IF(Roster!E83="Existing",1,IF(Roster!I83&lt;=Assumptions!$F$8,1,0))</f>
        <v>1</v>
      </c>
      <c r="I83" s="38" t="n">
        <f aca="false">IF(B83="Sales",Assumptions!$B$23,VLOOKUP(D83,Assumptions!$A$27:$B$31,2,FALSE()))</f>
        <v>0.08</v>
      </c>
      <c r="J83" s="37" t="n">
        <f aca="false">IF(F83&lt;Assumptions!$B$14,1,0)</f>
        <v>0</v>
      </c>
      <c r="K83" s="39" t="n">
        <f aca="false">IF($H83=1,MAX(0,MIN($G83,EOMONTH(K$5,0))-MAX($F83,K$5)+1)/DAY(EOMONTH(K$5,0)),0)</f>
        <v>0</v>
      </c>
      <c r="L83" s="39" t="n">
        <f aca="false">IF($H83=1,MAX(0,MIN($G83,EOMONTH(L$5,0))-MAX($F83,L$5)+1)/DAY(EOMONTH(L$5,0)),0)</f>
        <v>0</v>
      </c>
      <c r="M83" s="39" t="n">
        <f aca="false">IF($H83=1,MAX(0,MIN($G83,EOMONTH(M$5,0))-MAX($F83,M$5)+1)/DAY(EOMONTH(M$5,0)),0)</f>
        <v>0</v>
      </c>
      <c r="N83" s="39" t="n">
        <f aca="false">IF($H83=1,MAX(0,MIN($G83,EOMONTH(N$5,0))-MAX($F83,N$5)+1)/DAY(EOMONTH(N$5,0)),0)</f>
        <v>0</v>
      </c>
      <c r="O83" s="39" t="n">
        <f aca="false">IF($H83=1,MAX(0,MIN($G83,EOMONTH(O$5,0))-MAX($F83,O$5)+1)/DAY(EOMONTH(O$5,0)),0)</f>
        <v>0</v>
      </c>
      <c r="P83" s="39" t="n">
        <f aca="false">IF($H83=1,MAX(0,MIN($G83,EOMONTH(P$5,0))-MAX($F83,P$5)+1)/DAY(EOMONTH(P$5,0)),0)</f>
        <v>1</v>
      </c>
      <c r="Q83" s="39" t="n">
        <f aca="false">IF($H83=1,MAX(0,MIN($G83,EOMONTH(Q$5,0))-MAX($F83,Q$5)+1)/DAY(EOMONTH(Q$5,0)),0)</f>
        <v>1</v>
      </c>
      <c r="R83" s="39" t="n">
        <f aca="false">IF($H83=1,MAX(0,MIN($G83,EOMONTH(R$5,0))-MAX($F83,R$5)+1)/DAY(EOMONTH(R$5,0)),0)</f>
        <v>1</v>
      </c>
      <c r="S83" s="39" t="n">
        <f aca="false">IF($H83=1,MAX(0,MIN($G83,EOMONTH(S$5,0))-MAX($F83,S$5)+1)/DAY(EOMONTH(S$5,0)),0)</f>
        <v>1</v>
      </c>
      <c r="T83" s="39" t="n">
        <f aca="false">IF($H83=1,MAX(0,MIN($G83,EOMONTH(T$5,0))-MAX($F83,T$5)+1)/DAY(EOMONTH(T$5,0)),0)</f>
        <v>1</v>
      </c>
      <c r="U83" s="39" t="n">
        <f aca="false">IF($H83=1,MAX(0,MIN($G83,EOMONTH(U$5,0))-MAX($F83,U$5)+1)/DAY(EOMONTH(U$5,0)),0)</f>
        <v>1</v>
      </c>
      <c r="V83" s="39" t="n">
        <f aca="false">IF($H83=1,MAX(0,MIN($G83,EOMONTH(V$5,0))-MAX($F83,V$5)+1)/DAY(EOMONTH(V$5,0)),0)</f>
        <v>1</v>
      </c>
      <c r="W83" s="40" t="n">
        <f aca="false">$E83/12*K83*IF(AND($J83=1,W$5&gt;=Assumptions!$B$18),1+Assumptions!$B$17,1)</f>
        <v>0</v>
      </c>
      <c r="X83" s="40" t="n">
        <f aca="false">$E83/12*L83*IF(AND($J83=1,X$5&gt;=Assumptions!$B$18),1+Assumptions!$B$17,1)</f>
        <v>0</v>
      </c>
      <c r="Y83" s="40" t="n">
        <f aca="false">$E83/12*M83*IF(AND($J83=1,Y$5&gt;=Assumptions!$B$18),1+Assumptions!$B$17,1)</f>
        <v>0</v>
      </c>
      <c r="Z83" s="40" t="n">
        <f aca="false">$E83/12*N83*IF(AND($J83=1,Z$5&gt;=Assumptions!$B$18),1+Assumptions!$B$17,1)</f>
        <v>0</v>
      </c>
      <c r="AA83" s="40" t="n">
        <f aca="false">$E83/12*O83*IF(AND($J83=1,AA$5&gt;=Assumptions!$B$18),1+Assumptions!$B$17,1)</f>
        <v>0</v>
      </c>
      <c r="AB83" s="40" t="n">
        <f aca="false">$E83/12*P83*IF(AND($J83=1,AB$5&gt;=Assumptions!$B$18),1+Assumptions!$B$17,1)</f>
        <v>7750</v>
      </c>
      <c r="AC83" s="40" t="n">
        <f aca="false">$E83/12*Q83*IF(AND($J83=1,AC$5&gt;=Assumptions!$B$18),1+Assumptions!$B$17,1)</f>
        <v>7750</v>
      </c>
      <c r="AD83" s="40" t="n">
        <f aca="false">$E83/12*R83*IF(AND($J83=1,AD$5&gt;=Assumptions!$B$18),1+Assumptions!$B$17,1)</f>
        <v>7750</v>
      </c>
      <c r="AE83" s="40" t="n">
        <f aca="false">$E83/12*S83*IF(AND($J83=1,AE$5&gt;=Assumptions!$B$18),1+Assumptions!$B$17,1)</f>
        <v>7750</v>
      </c>
      <c r="AF83" s="40" t="n">
        <f aca="false">$E83/12*T83*IF(AND($J83=1,AF$5&gt;=Assumptions!$B$18),1+Assumptions!$B$17,1)</f>
        <v>7750</v>
      </c>
      <c r="AG83" s="40" t="n">
        <f aca="false">$E83/12*U83*IF(AND($J83=1,AG$5&gt;=Assumptions!$B$18),1+Assumptions!$B$17,1)</f>
        <v>7750</v>
      </c>
      <c r="AH83" s="40" t="n">
        <f aca="false">$E83/12*V83*IF(AND($J83=1,AH$5&gt;=Assumptions!$B$18),1+Assumptions!$B$17,1)</f>
        <v>7750</v>
      </c>
    </row>
    <row r="84" customFormat="false" ht="15" hidden="false" customHeight="true" outlineLevel="0" collapsed="false">
      <c r="A84" s="16" t="s">
        <v>222</v>
      </c>
      <c r="K84" s="41" t="n">
        <f aca="false">SUM(K6:K83)</f>
        <v>60</v>
      </c>
      <c r="L84" s="41" t="n">
        <f aca="false">SUM(L6:L83)</f>
        <v>62</v>
      </c>
      <c r="M84" s="41" t="n">
        <f aca="false">SUM(M6:M83)</f>
        <v>64</v>
      </c>
      <c r="N84" s="41" t="n">
        <f aca="false">SUM(N6:N83)</f>
        <v>66</v>
      </c>
      <c r="O84" s="41" t="n">
        <f aca="false">SUM(O6:O83)</f>
        <v>67</v>
      </c>
      <c r="P84" s="41" t="n">
        <f aca="false">SUM(P6:P83)</f>
        <v>70</v>
      </c>
      <c r="Q84" s="41" t="n">
        <f aca="false">SUM(Q6:Q83)</f>
        <v>71</v>
      </c>
      <c r="R84" s="41" t="n">
        <f aca="false">SUM(R6:R83)</f>
        <v>71</v>
      </c>
      <c r="S84" s="41" t="n">
        <f aca="false">SUM(S6:S83)</f>
        <v>71</v>
      </c>
      <c r="T84" s="41" t="n">
        <f aca="false">SUM(T6:T83)</f>
        <v>71</v>
      </c>
      <c r="U84" s="41" t="n">
        <f aca="false">SUM(U6:U83)</f>
        <v>71</v>
      </c>
      <c r="V84" s="41" t="n">
        <f aca="false">SUM(V6:V83)</f>
        <v>71</v>
      </c>
      <c r="W84" s="42" t="n">
        <f aca="false">SUM(W6:W83)</f>
        <v>575083.333333333</v>
      </c>
      <c r="X84" s="42" t="n">
        <f aca="false">SUM(X6:X83)</f>
        <v>594125</v>
      </c>
      <c r="Y84" s="42" t="n">
        <f aca="false">SUM(Y6:Y83)</f>
        <v>612416.666666667</v>
      </c>
      <c r="Z84" s="42" t="n">
        <f aca="false">SUM(Z6:Z83)</f>
        <v>649086.25</v>
      </c>
      <c r="AA84" s="42" t="n">
        <f aca="false">SUM(AA6:AA83)</f>
        <v>655181.666666667</v>
      </c>
      <c r="AB84" s="42" t="n">
        <f aca="false">SUM(AB6:AB83)</f>
        <v>682181.666666667</v>
      </c>
      <c r="AC84" s="42" t="n">
        <f aca="false">SUM(AC6:AC83)</f>
        <v>697913.958333333</v>
      </c>
      <c r="AD84" s="42" t="n">
        <f aca="false">SUM(AD6:AD83)</f>
        <v>697913.958333333</v>
      </c>
      <c r="AE84" s="42" t="n">
        <f aca="false">SUM(AE6:AE83)</f>
        <v>697945.833333333</v>
      </c>
      <c r="AF84" s="42" t="n">
        <f aca="false">SUM(AF6:AF83)</f>
        <v>697945.833333333</v>
      </c>
      <c r="AG84" s="42" t="n">
        <f aca="false">SUM(AG6:AG83)</f>
        <v>697945.833333333</v>
      </c>
      <c r="AH84" s="42" t="n">
        <f aca="false">SUM(AH6:AH83)</f>
        <v>697945.833333333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1"/>
    <col collapsed="false" customWidth="true" hidden="false" outlineLevel="0" max="14" min="14" style="1" width="13"/>
  </cols>
  <sheetData>
    <row r="1" customFormat="false" ht="17.25" hidden="false" customHeight="true" outlineLevel="0" collapsed="false">
      <c r="A1" s="15" t="s">
        <v>223</v>
      </c>
    </row>
    <row r="2" customFormat="false" ht="15" hidden="false" customHeight="true" outlineLevel="0" collapsed="false">
      <c r="A2" s="3" t="str">
        <f aca="false">"Scenario: "&amp;Assumptions!$C$5&amp;"   |   Monthly budget, January–December 2027"</f>
        <v>Scenario: Plan   |   Monthly budget, January–December 2027</v>
      </c>
    </row>
    <row r="4" customFormat="false" ht="15" hidden="false" customHeight="true" outlineLevel="0" collapsed="false">
      <c r="A4" s="27" t="s">
        <v>224</v>
      </c>
      <c r="B4" s="33" t="n">
        <f aca="false">'Headcount Calc'!K5</f>
        <v>46388</v>
      </c>
      <c r="C4" s="33" t="n">
        <f aca="false">'Headcount Calc'!L5</f>
        <v>46419</v>
      </c>
      <c r="D4" s="33" t="n">
        <f aca="false">'Headcount Calc'!M5</f>
        <v>46447</v>
      </c>
      <c r="E4" s="33" t="n">
        <f aca="false">'Headcount Calc'!N5</f>
        <v>46478</v>
      </c>
      <c r="F4" s="33" t="n">
        <f aca="false">'Headcount Calc'!O5</f>
        <v>46508</v>
      </c>
      <c r="G4" s="33" t="n">
        <f aca="false">'Headcount Calc'!P5</f>
        <v>46539</v>
      </c>
      <c r="H4" s="33" t="n">
        <f aca="false">'Headcount Calc'!Q5</f>
        <v>46569</v>
      </c>
      <c r="I4" s="33" t="n">
        <f aca="false">'Headcount Calc'!R5</f>
        <v>46600</v>
      </c>
      <c r="J4" s="33" t="n">
        <f aca="false">'Headcount Calc'!S5</f>
        <v>46631</v>
      </c>
      <c r="K4" s="33" t="n">
        <f aca="false">'Headcount Calc'!T5</f>
        <v>46661</v>
      </c>
      <c r="L4" s="33" t="n">
        <f aca="false">'Headcount Calc'!U5</f>
        <v>46692</v>
      </c>
      <c r="M4" s="33" t="n">
        <f aca="false">'Headcount Calc'!V5</f>
        <v>46722</v>
      </c>
      <c r="N4" s="19" t="s">
        <v>225</v>
      </c>
    </row>
    <row r="6" customFormat="false" ht="15" hidden="false" customHeight="true" outlineLevel="0" collapsed="false">
      <c r="A6" s="4" t="s">
        <v>61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6" t="s">
        <v>226</v>
      </c>
      <c r="B7" s="43" t="n">
        <f aca="false">SUMIF('Headcount Calc'!$B$6:$B$83,$A$6,'Headcount Calc'!K$6:K$83)</f>
        <v>20</v>
      </c>
      <c r="C7" s="43" t="n">
        <f aca="false">SUMIF('Headcount Calc'!$B$6:$B$83,$A$6,'Headcount Calc'!L$6:L$83)</f>
        <v>21</v>
      </c>
      <c r="D7" s="43" t="n">
        <f aca="false">SUMIF('Headcount Calc'!$B$6:$B$83,$A$6,'Headcount Calc'!M$6:M$83)</f>
        <v>21</v>
      </c>
      <c r="E7" s="43" t="n">
        <f aca="false">SUMIF('Headcount Calc'!$B$6:$B$83,$A$6,'Headcount Calc'!N$6:N$83)</f>
        <v>22</v>
      </c>
      <c r="F7" s="43" t="n">
        <f aca="false">SUMIF('Headcount Calc'!$B$6:$B$83,$A$6,'Headcount Calc'!O$6:O$83)</f>
        <v>22</v>
      </c>
      <c r="G7" s="43" t="n">
        <f aca="false">SUMIF('Headcount Calc'!$B$6:$B$83,$A$6,'Headcount Calc'!P$6:P$83)</f>
        <v>23</v>
      </c>
      <c r="H7" s="43" t="n">
        <f aca="false">SUMIF('Headcount Calc'!$B$6:$B$83,$A$6,'Headcount Calc'!Q$6:Q$83)</f>
        <v>24</v>
      </c>
      <c r="I7" s="43" t="n">
        <f aca="false">SUMIF('Headcount Calc'!$B$6:$B$83,$A$6,'Headcount Calc'!R$6:R$83)</f>
        <v>24</v>
      </c>
      <c r="J7" s="43" t="n">
        <f aca="false">SUMIF('Headcount Calc'!$B$6:$B$83,$A$6,'Headcount Calc'!S$6:S$83)</f>
        <v>24</v>
      </c>
      <c r="K7" s="43" t="n">
        <f aca="false">SUMIF('Headcount Calc'!$B$6:$B$83,$A$6,'Headcount Calc'!T$6:T$83)</f>
        <v>24</v>
      </c>
      <c r="L7" s="43" t="n">
        <f aca="false">SUMIF('Headcount Calc'!$B$6:$B$83,$A$6,'Headcount Calc'!U$6:U$83)</f>
        <v>24</v>
      </c>
      <c r="M7" s="43" t="n">
        <f aca="false">SUMIF('Headcount Calc'!$B$6:$B$83,$A$6,'Headcount Calc'!V$6:V$83)</f>
        <v>24</v>
      </c>
      <c r="N7" s="44" t="n">
        <f aca="false">AVERAGE(B7:M7)</f>
        <v>22.75</v>
      </c>
    </row>
    <row r="8" customFormat="false" ht="15" hidden="false" customHeight="true" outlineLevel="0" collapsed="false">
      <c r="A8" s="6" t="s">
        <v>227</v>
      </c>
      <c r="B8" s="40" t="n">
        <f aca="false">SUMIF('Headcount Calc'!$B$6:$B$83,$A$6,'Headcount Calc'!W$6:W$83)</f>
        <v>224708.333333333</v>
      </c>
      <c r="C8" s="40" t="n">
        <f aca="false">SUMIF('Headcount Calc'!$B$6:$B$83,$A$6,'Headcount Calc'!X$6:X$83)</f>
        <v>233708.333333333</v>
      </c>
      <c r="D8" s="40" t="n">
        <f aca="false">SUMIF('Headcount Calc'!$B$6:$B$83,$A$6,'Headcount Calc'!Y$6:Y$83)</f>
        <v>233708.333333333</v>
      </c>
      <c r="E8" s="40" t="n">
        <f aca="false">SUMIF('Headcount Calc'!$B$6:$B$83,$A$6,'Headcount Calc'!Z$6:Z$83)</f>
        <v>250656.458333333</v>
      </c>
      <c r="F8" s="40" t="n">
        <f aca="false">SUMIF('Headcount Calc'!$B$6:$B$83,$A$6,'Headcount Calc'!AA$6:AA$83)</f>
        <v>250085.208333333</v>
      </c>
      <c r="G8" s="40" t="n">
        <f aca="false">SUMIF('Headcount Calc'!$B$6:$B$83,$A$6,'Headcount Calc'!AB$6:AB$83)</f>
        <v>262585.208333333</v>
      </c>
      <c r="H8" s="40" t="n">
        <f aca="false">SUMIF('Headcount Calc'!$B$6:$B$83,$A$6,'Headcount Calc'!AC$6:AC$83)</f>
        <v>278085.208333333</v>
      </c>
      <c r="I8" s="40" t="n">
        <f aca="false">SUMIF('Headcount Calc'!$B$6:$B$83,$A$6,'Headcount Calc'!AD$6:AD$83)</f>
        <v>278085.208333333</v>
      </c>
      <c r="J8" s="40" t="n">
        <f aca="false">SUMIF('Headcount Calc'!$B$6:$B$83,$A$6,'Headcount Calc'!AE$6:AE$83)</f>
        <v>278085.208333333</v>
      </c>
      <c r="K8" s="40" t="n">
        <f aca="false">SUMIF('Headcount Calc'!$B$6:$B$83,$A$6,'Headcount Calc'!AF$6:AF$83)</f>
        <v>278085.208333333</v>
      </c>
      <c r="L8" s="40" t="n">
        <f aca="false">SUMIF('Headcount Calc'!$B$6:$B$83,$A$6,'Headcount Calc'!AG$6:AG$83)</f>
        <v>278085.208333333</v>
      </c>
      <c r="M8" s="40" t="n">
        <f aca="false">SUMIF('Headcount Calc'!$B$6:$B$83,$A$6,'Headcount Calc'!AH$6:AH$83)</f>
        <v>278085.208333333</v>
      </c>
      <c r="N8" s="45" t="n">
        <f aca="false">SUM(B8:M8)</f>
        <v>3123963.125</v>
      </c>
    </row>
    <row r="9" customFormat="false" ht="15" hidden="false" customHeight="true" outlineLevel="0" collapsed="false">
      <c r="A9" s="6" t="s">
        <v>228</v>
      </c>
      <c r="B9" s="40" t="n">
        <f aca="false">SUMPRODUCT(('Headcount Calc'!$B$6:$B$83=$A$6)*'Headcount Calc'!W$6:W$83*'Headcount Calc'!$I$6:$I$83)</f>
        <v>24423.3333333333</v>
      </c>
      <c r="C9" s="40" t="n">
        <f aca="false">SUMPRODUCT(('Headcount Calc'!$B$6:$B$83=$A$6)*'Headcount Calc'!X$6:X$83*'Headcount Calc'!$I$6:$I$83)</f>
        <v>25143.3333333333</v>
      </c>
      <c r="D9" s="40" t="n">
        <f aca="false">SUMPRODUCT(('Headcount Calc'!$B$6:$B$83=$A$6)*'Headcount Calc'!Y$6:Y$83*'Headcount Calc'!$I$6:$I$83)</f>
        <v>25143.3333333333</v>
      </c>
      <c r="E9" s="40" t="n">
        <f aca="false">SUMPRODUCT(('Headcount Calc'!$B$6:$B$83=$A$6)*'Headcount Calc'!Z$6:Z$83*'Headcount Calc'!$I$6:$I$83)</f>
        <v>26724.8166666667</v>
      </c>
      <c r="F9" s="40" t="n">
        <f aca="false">SUMPRODUCT(('Headcount Calc'!$B$6:$B$83=$A$6)*'Headcount Calc'!AA$6:AA$83*'Headcount Calc'!$I$6:$I$83)</f>
        <v>26667.6916666667</v>
      </c>
      <c r="G9" s="40" t="n">
        <f aca="false">SUMPRODUCT(('Headcount Calc'!$B$6:$B$83=$A$6)*'Headcount Calc'!AB$6:AB$83*'Headcount Calc'!$I$6:$I$83)</f>
        <v>27917.6916666667</v>
      </c>
      <c r="H9" s="40" t="n">
        <f aca="false">SUMPRODUCT(('Headcount Calc'!$B$6:$B$83=$A$6)*'Headcount Calc'!AC$6:AC$83*'Headcount Calc'!$I$6:$I$83)</f>
        <v>30242.6916666667</v>
      </c>
      <c r="I9" s="40" t="n">
        <f aca="false">SUMPRODUCT(('Headcount Calc'!$B$6:$B$83=$A$6)*'Headcount Calc'!AD$6:AD$83*'Headcount Calc'!$I$6:$I$83)</f>
        <v>30242.6916666667</v>
      </c>
      <c r="J9" s="40" t="n">
        <f aca="false">SUMPRODUCT(('Headcount Calc'!$B$6:$B$83=$A$6)*'Headcount Calc'!AE$6:AE$83*'Headcount Calc'!$I$6:$I$83)</f>
        <v>30242.6916666667</v>
      </c>
      <c r="K9" s="40" t="n">
        <f aca="false">SUMPRODUCT(('Headcount Calc'!$B$6:$B$83=$A$6)*'Headcount Calc'!AF$6:AF$83*'Headcount Calc'!$I$6:$I$83)</f>
        <v>30242.6916666667</v>
      </c>
      <c r="L9" s="40" t="n">
        <f aca="false">SUMPRODUCT(('Headcount Calc'!$B$6:$B$83=$A$6)*'Headcount Calc'!AG$6:AG$83*'Headcount Calc'!$I$6:$I$83)</f>
        <v>30242.6916666667</v>
      </c>
      <c r="M9" s="40" t="n">
        <f aca="false">SUMPRODUCT(('Headcount Calc'!$B$6:$B$83=$A$6)*'Headcount Calc'!AH$6:AH$83*'Headcount Calc'!$I$6:$I$83)</f>
        <v>30242.6916666667</v>
      </c>
      <c r="N9" s="45" t="n">
        <f aca="false">SUM(B9:M9)</f>
        <v>337476.35</v>
      </c>
    </row>
    <row r="10" customFormat="false" ht="15" hidden="false" customHeight="true" outlineLevel="0" collapsed="false">
      <c r="A10" s="6" t="s">
        <v>229</v>
      </c>
      <c r="B10" s="40" t="n">
        <f aca="false">(B8+B9)*Assumptions!$B$15</f>
        <v>17937.48</v>
      </c>
      <c r="C10" s="40" t="n">
        <f aca="false">(C8+C9)*Assumptions!$B$15</f>
        <v>18637.32</v>
      </c>
      <c r="D10" s="40" t="n">
        <f aca="false">(D8+D9)*Assumptions!$B$15</f>
        <v>18637.32</v>
      </c>
      <c r="E10" s="40" t="n">
        <f aca="false">(E8+E9)*Assumptions!$B$15</f>
        <v>19971.4518</v>
      </c>
      <c r="F10" s="40" t="n">
        <f aca="false">(F8+F9)*Assumptions!$B$15</f>
        <v>19926.2088</v>
      </c>
      <c r="G10" s="40" t="n">
        <f aca="false">(G8+G9)*Assumptions!$B$15</f>
        <v>20916.2088</v>
      </c>
      <c r="H10" s="40" t="n">
        <f aca="false">(H8+H9)*Assumptions!$B$15</f>
        <v>22199.6088</v>
      </c>
      <c r="I10" s="40" t="n">
        <f aca="false">(I8+I9)*Assumptions!$B$15</f>
        <v>22199.6088</v>
      </c>
      <c r="J10" s="40" t="n">
        <f aca="false">(J8+J9)*Assumptions!$B$15</f>
        <v>22199.6088</v>
      </c>
      <c r="K10" s="40" t="n">
        <f aca="false">(K8+K9)*Assumptions!$B$15</f>
        <v>22199.6088</v>
      </c>
      <c r="L10" s="40" t="n">
        <f aca="false">(L8+L9)*Assumptions!$B$15</f>
        <v>22199.6088</v>
      </c>
      <c r="M10" s="40" t="n">
        <f aca="false">(M8+M9)*Assumptions!$B$15</f>
        <v>22199.6088</v>
      </c>
      <c r="N10" s="45" t="n">
        <f aca="false">SUM(B10:M10)</f>
        <v>249223.6422</v>
      </c>
    </row>
    <row r="11" customFormat="false" ht="15" hidden="false" customHeight="true" outlineLevel="0" collapsed="false">
      <c r="A11" s="6" t="s">
        <v>230</v>
      </c>
      <c r="B11" s="40" t="n">
        <f aca="false">B7*Assumptions!$B$16</f>
        <v>23000</v>
      </c>
      <c r="C11" s="40" t="n">
        <f aca="false">C7*Assumptions!$B$16</f>
        <v>24150</v>
      </c>
      <c r="D11" s="40" t="n">
        <f aca="false">D7*Assumptions!$B$16</f>
        <v>24150</v>
      </c>
      <c r="E11" s="40" t="n">
        <f aca="false">E7*Assumptions!$B$16</f>
        <v>25300</v>
      </c>
      <c r="F11" s="40" t="n">
        <f aca="false">F7*Assumptions!$B$16</f>
        <v>25300</v>
      </c>
      <c r="G11" s="40" t="n">
        <f aca="false">G7*Assumptions!$B$16</f>
        <v>26450</v>
      </c>
      <c r="H11" s="40" t="n">
        <f aca="false">H7*Assumptions!$B$16</f>
        <v>27600</v>
      </c>
      <c r="I11" s="40" t="n">
        <f aca="false">I7*Assumptions!$B$16</f>
        <v>27600</v>
      </c>
      <c r="J11" s="40" t="n">
        <f aca="false">J7*Assumptions!$B$16</f>
        <v>27600</v>
      </c>
      <c r="K11" s="40" t="n">
        <f aca="false">K7*Assumptions!$B$16</f>
        <v>27600</v>
      </c>
      <c r="L11" s="40" t="n">
        <f aca="false">L7*Assumptions!$B$16</f>
        <v>27600</v>
      </c>
      <c r="M11" s="40" t="n">
        <f aca="false">M7*Assumptions!$B$16</f>
        <v>27600</v>
      </c>
      <c r="N11" s="45" t="n">
        <f aca="false">SUM(B11:M11)</f>
        <v>313950</v>
      </c>
    </row>
    <row r="12" customFormat="false" ht="15" hidden="false" customHeight="true" outlineLevel="0" collapsed="false">
      <c r="A12" s="6" t="s">
        <v>231</v>
      </c>
      <c r="B12" s="40" t="n">
        <f aca="false">SUMPRODUCT(('Headcount Calc'!$B$6:$B$83=$A$6)*('Headcount Calc'!$C$6:$C$83="Open role")*('Headcount Calc'!$H$6:$H$83=1)*('Headcount Calc'!$F$6:$F$83&gt;=B$4)*('Headcount Calc'!$F$6:$F$83&lt;=EOMONTH(B$4,0))*'Headcount Calc'!$E$6:$E$83)*Assumptions!$B$19+SUMPRODUCT(('Headcount Calc'!$B$6:$B$83=$A$6)*('Headcount Calc'!$C$6:$C$83="Open role")*('Headcount Calc'!$H$6:$H$83=1)*('Headcount Calc'!$F$6:$F$83&gt;=B$4)*('Headcount Calc'!$F$6:$F$83&lt;=EOMONTH(B$4,0)))*Assumptions!$B$20</f>
        <v>0</v>
      </c>
      <c r="C12" s="40" t="n">
        <f aca="false">SUMPRODUCT(('Headcount Calc'!$B$6:$B$83=$A$6)*('Headcount Calc'!$C$6:$C$83="Open role")*('Headcount Calc'!$H$6:$H$83=1)*('Headcount Calc'!$F$6:$F$83&gt;=C$4)*('Headcount Calc'!$F$6:$F$83&lt;=EOMONTH(C$4,0))*'Headcount Calc'!$E$6:$E$83)*Assumptions!$B$19+SUMPRODUCT(('Headcount Calc'!$B$6:$B$83=$A$6)*('Headcount Calc'!$C$6:$C$83="Open role")*('Headcount Calc'!$H$6:$H$83=1)*('Headcount Calc'!$F$6:$F$83&gt;=C$4)*('Headcount Calc'!$F$6:$F$83&lt;=EOMONTH(C$4,0)))*Assumptions!$B$20</f>
        <v>19200</v>
      </c>
      <c r="D12" s="40" t="n">
        <f aca="false">SUMPRODUCT(('Headcount Calc'!$B$6:$B$83=$A$6)*('Headcount Calc'!$C$6:$C$83="Open role")*('Headcount Calc'!$H$6:$H$83=1)*('Headcount Calc'!$F$6:$F$83&gt;=D$4)*('Headcount Calc'!$F$6:$F$83&lt;=EOMONTH(D$4,0))*'Headcount Calc'!$E$6:$E$83)*Assumptions!$B$19+SUMPRODUCT(('Headcount Calc'!$B$6:$B$83=$A$6)*('Headcount Calc'!$C$6:$C$83="Open role")*('Headcount Calc'!$H$6:$H$83=1)*('Headcount Calc'!$F$6:$F$83&gt;=D$4)*('Headcount Calc'!$F$6:$F$83&lt;=EOMONTH(D$4,0)))*Assumptions!$B$20</f>
        <v>0</v>
      </c>
      <c r="E12" s="40" t="n">
        <f aca="false">SUMPRODUCT(('Headcount Calc'!$B$6:$B$83=$A$6)*('Headcount Calc'!$C$6:$C$83="Open role")*('Headcount Calc'!$H$6:$H$83=1)*('Headcount Calc'!$F$6:$F$83&gt;=E$4)*('Headcount Calc'!$F$6:$F$83&lt;=EOMONTH(E$4,0))*'Headcount Calc'!$E$6:$E$83)*Assumptions!$B$19+SUMPRODUCT(('Headcount Calc'!$B$6:$B$83=$A$6)*('Headcount Calc'!$C$6:$C$83="Open role")*('Headcount Calc'!$H$6:$H$83=1)*('Headcount Calc'!$F$6:$F$83&gt;=E$4)*('Headcount Calc'!$F$6:$F$83&lt;=EOMONTH(E$4,0)))*Assumptions!$B$20</f>
        <v>19350</v>
      </c>
      <c r="F12" s="40" t="n">
        <f aca="false">SUMPRODUCT(('Headcount Calc'!$B$6:$B$83=$A$6)*('Headcount Calc'!$C$6:$C$83="Open role")*('Headcount Calc'!$H$6:$H$83=1)*('Headcount Calc'!$F$6:$F$83&gt;=F$4)*('Headcount Calc'!$F$6:$F$83&lt;=EOMONTH(F$4,0))*'Headcount Calc'!$E$6:$E$83)*Assumptions!$B$19+SUMPRODUCT(('Headcount Calc'!$B$6:$B$83=$A$6)*('Headcount Calc'!$C$6:$C$83="Open role")*('Headcount Calc'!$H$6:$H$83=1)*('Headcount Calc'!$F$6:$F$83&gt;=F$4)*('Headcount Calc'!$F$6:$F$83&lt;=EOMONTH(F$4,0)))*Assumptions!$B$20</f>
        <v>25725</v>
      </c>
      <c r="G12" s="40" t="n">
        <f aca="false">SUMPRODUCT(('Headcount Calc'!$B$6:$B$83=$A$6)*('Headcount Calc'!$C$6:$C$83="Open role")*('Headcount Calc'!$H$6:$H$83=1)*('Headcount Calc'!$F$6:$F$83&gt;=G$4)*('Headcount Calc'!$F$6:$F$83&lt;=EOMONTH(G$4,0))*'Headcount Calc'!$E$6:$E$83)*Assumptions!$B$19+SUMPRODUCT(('Headcount Calc'!$B$6:$B$83=$A$6)*('Headcount Calc'!$C$6:$C$83="Open role")*('Headcount Calc'!$H$6:$H$83=1)*('Headcount Calc'!$F$6:$F$83&gt;=G$4)*('Headcount Calc'!$F$6:$F$83&lt;=EOMONTH(G$4,0)))*Assumptions!$B$20</f>
        <v>25500</v>
      </c>
      <c r="H12" s="40" t="n">
        <f aca="false">SUMPRODUCT(('Headcount Calc'!$B$6:$B$83=$A$6)*('Headcount Calc'!$C$6:$C$83="Open role")*('Headcount Calc'!$H$6:$H$83=1)*('Headcount Calc'!$F$6:$F$83&gt;=H$4)*('Headcount Calc'!$F$6:$F$83&lt;=EOMONTH(H$4,0))*'Headcount Calc'!$E$6:$E$83)*Assumptions!$B$19+SUMPRODUCT(('Headcount Calc'!$B$6:$B$83=$A$6)*('Headcount Calc'!$C$6:$C$83="Open role")*('Headcount Calc'!$H$6:$H$83=1)*('Headcount Calc'!$F$6:$F$83&gt;=H$4)*('Headcount Calc'!$F$6:$F$83&lt;=EOMONTH(H$4,0)))*Assumptions!$B$20</f>
        <v>30900</v>
      </c>
      <c r="I12" s="40" t="n">
        <f aca="false">SUMPRODUCT(('Headcount Calc'!$B$6:$B$83=$A$6)*('Headcount Calc'!$C$6:$C$83="Open role")*('Headcount Calc'!$H$6:$H$83=1)*('Headcount Calc'!$F$6:$F$83&gt;=I$4)*('Headcount Calc'!$F$6:$F$83&lt;=EOMONTH(I$4,0))*'Headcount Calc'!$E$6:$E$83)*Assumptions!$B$19+SUMPRODUCT(('Headcount Calc'!$B$6:$B$83=$A$6)*('Headcount Calc'!$C$6:$C$83="Open role")*('Headcount Calc'!$H$6:$H$83=1)*('Headcount Calc'!$F$6:$F$83&gt;=I$4)*('Headcount Calc'!$F$6:$F$83&lt;=EOMONTH(I$4,0)))*Assumptions!$B$20</f>
        <v>0</v>
      </c>
      <c r="J12" s="40" t="n">
        <f aca="false">SUMPRODUCT(('Headcount Calc'!$B$6:$B$83=$A$6)*('Headcount Calc'!$C$6:$C$83="Open role")*('Headcount Calc'!$H$6:$H$83=1)*('Headcount Calc'!$F$6:$F$83&gt;=J$4)*('Headcount Calc'!$F$6:$F$83&lt;=EOMONTH(J$4,0))*'Headcount Calc'!$E$6:$E$83)*Assumptions!$B$19+SUMPRODUCT(('Headcount Calc'!$B$6:$B$83=$A$6)*('Headcount Calc'!$C$6:$C$83="Open role")*('Headcount Calc'!$H$6:$H$83=1)*('Headcount Calc'!$F$6:$F$83&gt;=J$4)*('Headcount Calc'!$F$6:$F$83&lt;=EOMONTH(J$4,0)))*Assumptions!$B$20</f>
        <v>0</v>
      </c>
      <c r="K12" s="40" t="n">
        <f aca="false">SUMPRODUCT(('Headcount Calc'!$B$6:$B$83=$A$6)*('Headcount Calc'!$C$6:$C$83="Open role")*('Headcount Calc'!$H$6:$H$83=1)*('Headcount Calc'!$F$6:$F$83&gt;=K$4)*('Headcount Calc'!$F$6:$F$83&lt;=EOMONTH(K$4,0))*'Headcount Calc'!$E$6:$E$83)*Assumptions!$B$19+SUMPRODUCT(('Headcount Calc'!$B$6:$B$83=$A$6)*('Headcount Calc'!$C$6:$C$83="Open role")*('Headcount Calc'!$H$6:$H$83=1)*('Headcount Calc'!$F$6:$F$83&gt;=K$4)*('Headcount Calc'!$F$6:$F$83&lt;=EOMONTH(K$4,0)))*Assumptions!$B$20</f>
        <v>0</v>
      </c>
      <c r="L12" s="40" t="n">
        <f aca="false">SUMPRODUCT(('Headcount Calc'!$B$6:$B$83=$A$6)*('Headcount Calc'!$C$6:$C$83="Open role")*('Headcount Calc'!$H$6:$H$83=1)*('Headcount Calc'!$F$6:$F$83&gt;=L$4)*('Headcount Calc'!$F$6:$F$83&lt;=EOMONTH(L$4,0))*'Headcount Calc'!$E$6:$E$83)*Assumptions!$B$19+SUMPRODUCT(('Headcount Calc'!$B$6:$B$83=$A$6)*('Headcount Calc'!$C$6:$C$83="Open role")*('Headcount Calc'!$H$6:$H$83=1)*('Headcount Calc'!$F$6:$F$83&gt;=L$4)*('Headcount Calc'!$F$6:$F$83&lt;=EOMONTH(L$4,0)))*Assumptions!$B$20</f>
        <v>0</v>
      </c>
      <c r="M12" s="40" t="n">
        <f aca="false">SUMPRODUCT(('Headcount Calc'!$B$6:$B$83=$A$6)*('Headcount Calc'!$C$6:$C$83="Open role")*('Headcount Calc'!$H$6:$H$83=1)*('Headcount Calc'!$F$6:$F$83&gt;=M$4)*('Headcount Calc'!$F$6:$F$83&lt;=EOMONTH(M$4,0))*'Headcount Calc'!$E$6:$E$83)*Assumptions!$B$19+SUMPRODUCT(('Headcount Calc'!$B$6:$B$83=$A$6)*('Headcount Calc'!$C$6:$C$83="Open role")*('Headcount Calc'!$H$6:$H$83=1)*('Headcount Calc'!$F$6:$F$83&gt;=M$4)*('Headcount Calc'!$F$6:$F$83&lt;=EOMONTH(M$4,0)))*Assumptions!$B$20</f>
        <v>0</v>
      </c>
      <c r="N12" s="45" t="n">
        <f aca="false">SUM(B12:M12)</f>
        <v>120675</v>
      </c>
    </row>
    <row r="13" customFormat="false" ht="15" hidden="false" customHeight="true" outlineLevel="0" collapsed="false">
      <c r="A13" s="6" t="s">
        <v>232</v>
      </c>
      <c r="B13" s="40" t="n">
        <f aca="false">B7*Assumptions!$B$21</f>
        <v>5000</v>
      </c>
      <c r="C13" s="40" t="n">
        <f aca="false">C7*Assumptions!$B$21</f>
        <v>5250</v>
      </c>
      <c r="D13" s="40" t="n">
        <f aca="false">D7*Assumptions!$B$21</f>
        <v>5250</v>
      </c>
      <c r="E13" s="40" t="n">
        <f aca="false">E7*Assumptions!$B$21</f>
        <v>5500</v>
      </c>
      <c r="F13" s="40" t="n">
        <f aca="false">F7*Assumptions!$B$21</f>
        <v>5500</v>
      </c>
      <c r="G13" s="40" t="n">
        <f aca="false">G7*Assumptions!$B$21</f>
        <v>5750</v>
      </c>
      <c r="H13" s="40" t="n">
        <f aca="false">H7*Assumptions!$B$21</f>
        <v>6000</v>
      </c>
      <c r="I13" s="40" t="n">
        <f aca="false">I7*Assumptions!$B$21</f>
        <v>6000</v>
      </c>
      <c r="J13" s="40" t="n">
        <f aca="false">J7*Assumptions!$B$21</f>
        <v>6000</v>
      </c>
      <c r="K13" s="40" t="n">
        <f aca="false">K7*Assumptions!$B$21</f>
        <v>6000</v>
      </c>
      <c r="L13" s="40" t="n">
        <f aca="false">L7*Assumptions!$B$21</f>
        <v>6000</v>
      </c>
      <c r="M13" s="40" t="n">
        <f aca="false">M7*Assumptions!$B$21</f>
        <v>6000</v>
      </c>
      <c r="N13" s="45" t="n">
        <f aca="false">SUM(B13:M13)</f>
        <v>68250</v>
      </c>
    </row>
    <row r="14" customFormat="false" ht="15" hidden="false" customHeight="true" outlineLevel="0" collapsed="false">
      <c r="A14" s="6" t="s">
        <v>233</v>
      </c>
      <c r="B14" s="40" t="n">
        <f aca="false">B7*VLOOKUP($A$6,Assumptions!$A$35:$C$40,2,FALSE())</f>
        <v>3000</v>
      </c>
      <c r="C14" s="40" t="n">
        <f aca="false">C7*VLOOKUP($A$6,Assumptions!$A$35:$C$40,2,FALSE())</f>
        <v>3150</v>
      </c>
      <c r="D14" s="40" t="n">
        <f aca="false">D7*VLOOKUP($A$6,Assumptions!$A$35:$C$40,2,FALSE())</f>
        <v>3150</v>
      </c>
      <c r="E14" s="40" t="n">
        <f aca="false">E7*VLOOKUP($A$6,Assumptions!$A$35:$C$40,2,FALSE())</f>
        <v>3300</v>
      </c>
      <c r="F14" s="40" t="n">
        <f aca="false">F7*VLOOKUP($A$6,Assumptions!$A$35:$C$40,2,FALSE())</f>
        <v>3300</v>
      </c>
      <c r="G14" s="40" t="n">
        <f aca="false">G7*VLOOKUP($A$6,Assumptions!$A$35:$C$40,2,FALSE())</f>
        <v>3450</v>
      </c>
      <c r="H14" s="40" t="n">
        <f aca="false">H7*VLOOKUP($A$6,Assumptions!$A$35:$C$40,2,FALSE())</f>
        <v>3600</v>
      </c>
      <c r="I14" s="40" t="n">
        <f aca="false">I7*VLOOKUP($A$6,Assumptions!$A$35:$C$40,2,FALSE())</f>
        <v>3600</v>
      </c>
      <c r="J14" s="40" t="n">
        <f aca="false">J7*VLOOKUP($A$6,Assumptions!$A$35:$C$40,2,FALSE())</f>
        <v>3600</v>
      </c>
      <c r="K14" s="40" t="n">
        <f aca="false">K7*VLOOKUP($A$6,Assumptions!$A$35:$C$40,2,FALSE())</f>
        <v>3600</v>
      </c>
      <c r="L14" s="40" t="n">
        <f aca="false">L7*VLOOKUP($A$6,Assumptions!$A$35:$C$40,2,FALSE())</f>
        <v>3600</v>
      </c>
      <c r="M14" s="40" t="n">
        <f aca="false">M7*VLOOKUP($A$6,Assumptions!$A$35:$C$40,2,FALSE())</f>
        <v>3600</v>
      </c>
      <c r="N14" s="45" t="n">
        <f aca="false">SUM(B14:M14)</f>
        <v>40950</v>
      </c>
    </row>
    <row r="15" customFormat="false" ht="15" hidden="false" customHeight="true" outlineLevel="0" collapsed="false">
      <c r="A15" s="6" t="s">
        <v>234</v>
      </c>
      <c r="B15" s="40" t="n">
        <f aca="false">B7*Assumptions!$B$22</f>
        <v>12000</v>
      </c>
      <c r="C15" s="40" t="n">
        <f aca="false">C7*Assumptions!$B$22</f>
        <v>12600</v>
      </c>
      <c r="D15" s="40" t="n">
        <f aca="false">D7*Assumptions!$B$22</f>
        <v>12600</v>
      </c>
      <c r="E15" s="40" t="n">
        <f aca="false">E7*Assumptions!$B$22</f>
        <v>13200</v>
      </c>
      <c r="F15" s="40" t="n">
        <f aca="false">F7*Assumptions!$B$22</f>
        <v>13200</v>
      </c>
      <c r="G15" s="40" t="n">
        <f aca="false">G7*Assumptions!$B$22</f>
        <v>13800</v>
      </c>
      <c r="H15" s="40" t="n">
        <f aca="false">H7*Assumptions!$B$22</f>
        <v>14400</v>
      </c>
      <c r="I15" s="40" t="n">
        <f aca="false">I7*Assumptions!$B$22</f>
        <v>14400</v>
      </c>
      <c r="J15" s="40" t="n">
        <f aca="false">J7*Assumptions!$B$22</f>
        <v>14400</v>
      </c>
      <c r="K15" s="40" t="n">
        <f aca="false">K7*Assumptions!$B$22</f>
        <v>14400</v>
      </c>
      <c r="L15" s="40" t="n">
        <f aca="false">L7*Assumptions!$B$22</f>
        <v>14400</v>
      </c>
      <c r="M15" s="40" t="n">
        <f aca="false">M7*Assumptions!$B$22</f>
        <v>14400</v>
      </c>
      <c r="N15" s="45" t="n">
        <f aca="false">SUM(B15:M15)</f>
        <v>163800</v>
      </c>
    </row>
    <row r="16" customFormat="false" ht="15" hidden="false" customHeight="true" outlineLevel="0" collapsed="false">
      <c r="A16" s="6" t="s">
        <v>235</v>
      </c>
      <c r="B16" s="40" t="n">
        <f aca="false">VLOOKUP($A$6,Assumptions!$A$35:$C$40,3,FALSE())/12*(1+Assumptions!$F$11)</f>
        <v>50000</v>
      </c>
      <c r="C16" s="40" t="n">
        <f aca="false">VLOOKUP($A$6,Assumptions!$A$35:$C$40,3,FALSE())/12*(1+Assumptions!$F$11)</f>
        <v>50000</v>
      </c>
      <c r="D16" s="40" t="n">
        <f aca="false">VLOOKUP($A$6,Assumptions!$A$35:$C$40,3,FALSE())/12*(1+Assumptions!$F$11)</f>
        <v>50000</v>
      </c>
      <c r="E16" s="40" t="n">
        <f aca="false">VLOOKUP($A$6,Assumptions!$A$35:$C$40,3,FALSE())/12*(1+Assumptions!$F$11)</f>
        <v>50000</v>
      </c>
      <c r="F16" s="40" t="n">
        <f aca="false">VLOOKUP($A$6,Assumptions!$A$35:$C$40,3,FALSE())/12*(1+Assumptions!$F$11)</f>
        <v>50000</v>
      </c>
      <c r="G16" s="40" t="n">
        <f aca="false">VLOOKUP($A$6,Assumptions!$A$35:$C$40,3,FALSE())/12*(1+Assumptions!$F$11)</f>
        <v>50000</v>
      </c>
      <c r="H16" s="40" t="n">
        <f aca="false">VLOOKUP($A$6,Assumptions!$A$35:$C$40,3,FALSE())/12*(1+Assumptions!$F$11)</f>
        <v>50000</v>
      </c>
      <c r="I16" s="40" t="n">
        <f aca="false">VLOOKUP($A$6,Assumptions!$A$35:$C$40,3,FALSE())/12*(1+Assumptions!$F$11)</f>
        <v>50000</v>
      </c>
      <c r="J16" s="40" t="n">
        <f aca="false">VLOOKUP($A$6,Assumptions!$A$35:$C$40,3,FALSE())/12*(1+Assumptions!$F$11)</f>
        <v>50000</v>
      </c>
      <c r="K16" s="40" t="n">
        <f aca="false">VLOOKUP($A$6,Assumptions!$A$35:$C$40,3,FALSE())/12*(1+Assumptions!$F$11)</f>
        <v>50000</v>
      </c>
      <c r="L16" s="40" t="n">
        <f aca="false">VLOOKUP($A$6,Assumptions!$A$35:$C$40,3,FALSE())/12*(1+Assumptions!$F$11)</f>
        <v>50000</v>
      </c>
      <c r="M16" s="40" t="n">
        <f aca="false">VLOOKUP($A$6,Assumptions!$A$35:$C$40,3,FALSE())/12*(1+Assumptions!$F$11)</f>
        <v>50000</v>
      </c>
      <c r="N16" s="45" t="n">
        <f aca="false">SUM(B16:M16)</f>
        <v>600000</v>
      </c>
    </row>
    <row r="17" customFormat="false" ht="15" hidden="false" customHeight="true" outlineLevel="0" collapsed="false">
      <c r="A17" s="16" t="s">
        <v>236</v>
      </c>
      <c r="B17" s="42" t="n">
        <f aca="false">SUM(B8:B16)</f>
        <v>360069.146666667</v>
      </c>
      <c r="C17" s="42" t="n">
        <f aca="false">SUM(C8:C16)</f>
        <v>391838.986666667</v>
      </c>
      <c r="D17" s="42" t="n">
        <f aca="false">SUM(D8:D16)</f>
        <v>372638.986666667</v>
      </c>
      <c r="E17" s="42" t="n">
        <f aca="false">SUM(E8:E16)</f>
        <v>414002.7268</v>
      </c>
      <c r="F17" s="42" t="n">
        <f aca="false">SUM(F8:F16)</f>
        <v>419704.1088</v>
      </c>
      <c r="G17" s="42" t="n">
        <f aca="false">SUM(G8:G16)</f>
        <v>436369.1088</v>
      </c>
      <c r="H17" s="42" t="n">
        <f aca="false">SUM(H8:H16)</f>
        <v>463027.5088</v>
      </c>
      <c r="I17" s="42" t="n">
        <f aca="false">SUM(I8:I16)</f>
        <v>432127.5088</v>
      </c>
      <c r="J17" s="42" t="n">
        <f aca="false">SUM(J8:J16)</f>
        <v>432127.5088</v>
      </c>
      <c r="K17" s="42" t="n">
        <f aca="false">SUM(K8:K16)</f>
        <v>432127.5088</v>
      </c>
      <c r="L17" s="42" t="n">
        <f aca="false">SUM(L8:L16)</f>
        <v>432127.5088</v>
      </c>
      <c r="M17" s="42" t="n">
        <f aca="false">SUM(M8:M16)</f>
        <v>432127.5088</v>
      </c>
      <c r="N17" s="42" t="n">
        <f aca="false">SUM(B17:M17)</f>
        <v>5018288.1172</v>
      </c>
    </row>
    <row r="19" customFormat="false" ht="15" hidden="false" customHeight="true" outlineLevel="0" collapsed="false">
      <c r="A19" s="4" t="s">
        <v>63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A20" s="6" t="s">
        <v>226</v>
      </c>
      <c r="B20" s="43" t="n">
        <f aca="false">SUMIF('Headcount Calc'!$B$6:$B$83,$A$19,'Headcount Calc'!K$6:K$83)</f>
        <v>5</v>
      </c>
      <c r="C20" s="43" t="n">
        <f aca="false">SUMIF('Headcount Calc'!$B$6:$B$83,$A$19,'Headcount Calc'!L$6:L$83)</f>
        <v>5</v>
      </c>
      <c r="D20" s="43" t="n">
        <f aca="false">SUMIF('Headcount Calc'!$B$6:$B$83,$A$19,'Headcount Calc'!M$6:M$83)</f>
        <v>6</v>
      </c>
      <c r="E20" s="43" t="n">
        <f aca="false">SUMIF('Headcount Calc'!$B$6:$B$83,$A$19,'Headcount Calc'!N$6:N$83)</f>
        <v>6</v>
      </c>
      <c r="F20" s="43" t="n">
        <f aca="false">SUMIF('Headcount Calc'!$B$6:$B$83,$A$19,'Headcount Calc'!O$6:O$83)</f>
        <v>6</v>
      </c>
      <c r="G20" s="43" t="n">
        <f aca="false">SUMIF('Headcount Calc'!$B$6:$B$83,$A$19,'Headcount Calc'!P$6:P$83)</f>
        <v>6</v>
      </c>
      <c r="H20" s="43" t="n">
        <f aca="false">SUMIF('Headcount Calc'!$B$6:$B$83,$A$19,'Headcount Calc'!Q$6:Q$83)</f>
        <v>6</v>
      </c>
      <c r="I20" s="43" t="n">
        <f aca="false">SUMIF('Headcount Calc'!$B$6:$B$83,$A$19,'Headcount Calc'!R$6:R$83)</f>
        <v>6</v>
      </c>
      <c r="J20" s="43" t="n">
        <f aca="false">SUMIF('Headcount Calc'!$B$6:$B$83,$A$19,'Headcount Calc'!S$6:S$83)</f>
        <v>6</v>
      </c>
      <c r="K20" s="43" t="n">
        <f aca="false">SUMIF('Headcount Calc'!$B$6:$B$83,$A$19,'Headcount Calc'!T$6:T$83)</f>
        <v>6</v>
      </c>
      <c r="L20" s="43" t="n">
        <f aca="false">SUMIF('Headcount Calc'!$B$6:$B$83,$A$19,'Headcount Calc'!U$6:U$83)</f>
        <v>6</v>
      </c>
      <c r="M20" s="43" t="n">
        <f aca="false">SUMIF('Headcount Calc'!$B$6:$B$83,$A$19,'Headcount Calc'!V$6:V$83)</f>
        <v>6</v>
      </c>
      <c r="N20" s="44" t="n">
        <f aca="false">AVERAGE(B20:M20)</f>
        <v>5.83333333333333</v>
      </c>
    </row>
    <row r="21" customFormat="false" ht="15" hidden="false" customHeight="true" outlineLevel="0" collapsed="false">
      <c r="A21" s="6" t="s">
        <v>227</v>
      </c>
      <c r="B21" s="40" t="n">
        <f aca="false">SUMIF('Headcount Calc'!$B$6:$B$83,$A$19,'Headcount Calc'!W$6:W$83)</f>
        <v>61041.6666666667</v>
      </c>
      <c r="C21" s="40" t="n">
        <f aca="false">SUMIF('Headcount Calc'!$B$6:$B$83,$A$19,'Headcount Calc'!X$6:X$83)</f>
        <v>61041.6666666667</v>
      </c>
      <c r="D21" s="40" t="n">
        <f aca="false">SUMIF('Headcount Calc'!$B$6:$B$83,$A$19,'Headcount Calc'!Y$6:Y$83)</f>
        <v>72666.6666666667</v>
      </c>
      <c r="E21" s="40" t="n">
        <f aca="false">SUMIF('Headcount Calc'!$B$6:$B$83,$A$19,'Headcount Calc'!Z$6:Z$83)</f>
        <v>74803.125</v>
      </c>
      <c r="F21" s="40" t="n">
        <f aca="false">SUMIF('Headcount Calc'!$B$6:$B$83,$A$19,'Headcount Calc'!AA$6:AA$83)</f>
        <v>74803.125</v>
      </c>
      <c r="G21" s="40" t="n">
        <f aca="false">SUMIF('Headcount Calc'!$B$6:$B$83,$A$19,'Headcount Calc'!AB$6:AB$83)</f>
        <v>74803.125</v>
      </c>
      <c r="H21" s="40" t="n">
        <f aca="false">SUMIF('Headcount Calc'!$B$6:$B$83,$A$19,'Headcount Calc'!AC$6:AC$83)</f>
        <v>74803.125</v>
      </c>
      <c r="I21" s="40" t="n">
        <f aca="false">SUMIF('Headcount Calc'!$B$6:$B$83,$A$19,'Headcount Calc'!AD$6:AD$83)</f>
        <v>74803.125</v>
      </c>
      <c r="J21" s="40" t="n">
        <f aca="false">SUMIF('Headcount Calc'!$B$6:$B$83,$A$19,'Headcount Calc'!AE$6:AE$83)</f>
        <v>74803.125</v>
      </c>
      <c r="K21" s="40" t="n">
        <f aca="false">SUMIF('Headcount Calc'!$B$6:$B$83,$A$19,'Headcount Calc'!AF$6:AF$83)</f>
        <v>74803.125</v>
      </c>
      <c r="L21" s="40" t="n">
        <f aca="false">SUMIF('Headcount Calc'!$B$6:$B$83,$A$19,'Headcount Calc'!AG$6:AG$83)</f>
        <v>74803.125</v>
      </c>
      <c r="M21" s="40" t="n">
        <f aca="false">SUMIF('Headcount Calc'!$B$6:$B$83,$A$19,'Headcount Calc'!AH$6:AH$83)</f>
        <v>74803.125</v>
      </c>
      <c r="N21" s="45" t="n">
        <f aca="false">SUM(B21:M21)</f>
        <v>867978.125</v>
      </c>
    </row>
    <row r="22" customFormat="false" ht="15" hidden="false" customHeight="true" outlineLevel="0" collapsed="false">
      <c r="A22" s="6" t="s">
        <v>228</v>
      </c>
      <c r="B22" s="40" t="n">
        <f aca="false">SUMPRODUCT(('Headcount Calc'!$B$6:$B$83=$A$19)*'Headcount Calc'!W$6:W$83*'Headcount Calc'!$I$6:$I$83)</f>
        <v>7777.5</v>
      </c>
      <c r="C22" s="40" t="n">
        <f aca="false">SUMPRODUCT(('Headcount Calc'!$B$6:$B$83=$A$19)*'Headcount Calc'!X$6:X$83*'Headcount Calc'!$I$6:$I$83)</f>
        <v>7777.5</v>
      </c>
      <c r="D22" s="40" t="n">
        <f aca="false">SUMPRODUCT(('Headcount Calc'!$B$6:$B$83=$A$19)*'Headcount Calc'!Y$6:Y$83*'Headcount Calc'!$I$6:$I$83)</f>
        <v>8940</v>
      </c>
      <c r="E22" s="40" t="n">
        <f aca="false">SUMPRODUCT(('Headcount Calc'!$B$6:$B$83=$A$19)*'Headcount Calc'!Z$6:Z$83*'Headcount Calc'!$I$6:$I$83)</f>
        <v>9212.2125</v>
      </c>
      <c r="F22" s="40" t="n">
        <f aca="false">SUMPRODUCT(('Headcount Calc'!$B$6:$B$83=$A$19)*'Headcount Calc'!AA$6:AA$83*'Headcount Calc'!$I$6:$I$83)</f>
        <v>9212.2125</v>
      </c>
      <c r="G22" s="40" t="n">
        <f aca="false">SUMPRODUCT(('Headcount Calc'!$B$6:$B$83=$A$19)*'Headcount Calc'!AB$6:AB$83*'Headcount Calc'!$I$6:$I$83)</f>
        <v>9212.2125</v>
      </c>
      <c r="H22" s="40" t="n">
        <f aca="false">SUMPRODUCT(('Headcount Calc'!$B$6:$B$83=$A$19)*'Headcount Calc'!AC$6:AC$83*'Headcount Calc'!$I$6:$I$83)</f>
        <v>9212.2125</v>
      </c>
      <c r="I22" s="40" t="n">
        <f aca="false">SUMPRODUCT(('Headcount Calc'!$B$6:$B$83=$A$19)*'Headcount Calc'!AD$6:AD$83*'Headcount Calc'!$I$6:$I$83)</f>
        <v>9212.2125</v>
      </c>
      <c r="J22" s="40" t="n">
        <f aca="false">SUMPRODUCT(('Headcount Calc'!$B$6:$B$83=$A$19)*'Headcount Calc'!AE$6:AE$83*'Headcount Calc'!$I$6:$I$83)</f>
        <v>9212.2125</v>
      </c>
      <c r="K22" s="40" t="n">
        <f aca="false">SUMPRODUCT(('Headcount Calc'!$B$6:$B$83=$A$19)*'Headcount Calc'!AF$6:AF$83*'Headcount Calc'!$I$6:$I$83)</f>
        <v>9212.2125</v>
      </c>
      <c r="L22" s="40" t="n">
        <f aca="false">SUMPRODUCT(('Headcount Calc'!$B$6:$B$83=$A$19)*'Headcount Calc'!AG$6:AG$83*'Headcount Calc'!$I$6:$I$83)</f>
        <v>9212.2125</v>
      </c>
      <c r="M22" s="40" t="n">
        <f aca="false">SUMPRODUCT(('Headcount Calc'!$B$6:$B$83=$A$19)*'Headcount Calc'!AH$6:AH$83*'Headcount Calc'!$I$6:$I$83)</f>
        <v>9212.2125</v>
      </c>
      <c r="N22" s="45" t="n">
        <f aca="false">SUM(B22:M22)</f>
        <v>107404.9125</v>
      </c>
    </row>
    <row r="23" customFormat="false" ht="15" hidden="false" customHeight="true" outlineLevel="0" collapsed="false">
      <c r="A23" s="6" t="s">
        <v>229</v>
      </c>
      <c r="B23" s="40" t="n">
        <f aca="false">(B21+B22)*Assumptions!$B$15</f>
        <v>4954.98</v>
      </c>
      <c r="C23" s="40" t="n">
        <f aca="false">(C21+C22)*Assumptions!$B$15</f>
        <v>4954.98</v>
      </c>
      <c r="D23" s="40" t="n">
        <f aca="false">(D21+D22)*Assumptions!$B$15</f>
        <v>5875.68</v>
      </c>
      <c r="E23" s="40" t="n">
        <f aca="false">(E21+E22)*Assumptions!$B$15</f>
        <v>6049.1043</v>
      </c>
      <c r="F23" s="40" t="n">
        <f aca="false">(F21+F22)*Assumptions!$B$15</f>
        <v>6049.1043</v>
      </c>
      <c r="G23" s="40" t="n">
        <f aca="false">(G21+G22)*Assumptions!$B$15</f>
        <v>6049.1043</v>
      </c>
      <c r="H23" s="40" t="n">
        <f aca="false">(H21+H22)*Assumptions!$B$15</f>
        <v>6049.1043</v>
      </c>
      <c r="I23" s="40" t="n">
        <f aca="false">(I21+I22)*Assumptions!$B$15</f>
        <v>6049.1043</v>
      </c>
      <c r="J23" s="40" t="n">
        <f aca="false">(J21+J22)*Assumptions!$B$15</f>
        <v>6049.1043</v>
      </c>
      <c r="K23" s="40" t="n">
        <f aca="false">(K21+K22)*Assumptions!$B$15</f>
        <v>6049.1043</v>
      </c>
      <c r="L23" s="40" t="n">
        <f aca="false">(L21+L22)*Assumptions!$B$15</f>
        <v>6049.1043</v>
      </c>
      <c r="M23" s="40" t="n">
        <f aca="false">(M21+M22)*Assumptions!$B$15</f>
        <v>6049.1043</v>
      </c>
      <c r="N23" s="45" t="n">
        <f aca="false">SUM(B23:M23)</f>
        <v>70227.5787</v>
      </c>
    </row>
    <row r="24" customFormat="false" ht="15" hidden="false" customHeight="true" outlineLevel="0" collapsed="false">
      <c r="A24" s="6" t="s">
        <v>230</v>
      </c>
      <c r="B24" s="40" t="n">
        <f aca="false">B20*Assumptions!$B$16</f>
        <v>5750</v>
      </c>
      <c r="C24" s="40" t="n">
        <f aca="false">C20*Assumptions!$B$16</f>
        <v>5750</v>
      </c>
      <c r="D24" s="40" t="n">
        <f aca="false">D20*Assumptions!$B$16</f>
        <v>6900</v>
      </c>
      <c r="E24" s="40" t="n">
        <f aca="false">E20*Assumptions!$B$16</f>
        <v>6900</v>
      </c>
      <c r="F24" s="40" t="n">
        <f aca="false">F20*Assumptions!$B$16</f>
        <v>6900</v>
      </c>
      <c r="G24" s="40" t="n">
        <f aca="false">G20*Assumptions!$B$16</f>
        <v>6900</v>
      </c>
      <c r="H24" s="40" t="n">
        <f aca="false">H20*Assumptions!$B$16</f>
        <v>6900</v>
      </c>
      <c r="I24" s="40" t="n">
        <f aca="false">I20*Assumptions!$B$16</f>
        <v>6900</v>
      </c>
      <c r="J24" s="40" t="n">
        <f aca="false">J20*Assumptions!$B$16</f>
        <v>6900</v>
      </c>
      <c r="K24" s="40" t="n">
        <f aca="false">K20*Assumptions!$B$16</f>
        <v>6900</v>
      </c>
      <c r="L24" s="40" t="n">
        <f aca="false">L20*Assumptions!$B$16</f>
        <v>6900</v>
      </c>
      <c r="M24" s="40" t="n">
        <f aca="false">M20*Assumptions!$B$16</f>
        <v>6900</v>
      </c>
      <c r="N24" s="45" t="n">
        <f aca="false">SUM(B24:M24)</f>
        <v>80500</v>
      </c>
    </row>
    <row r="25" customFormat="false" ht="15" hidden="false" customHeight="true" outlineLevel="0" collapsed="false">
      <c r="A25" s="6" t="s">
        <v>231</v>
      </c>
      <c r="B25" s="40" t="n">
        <f aca="false">SUMPRODUCT(('Headcount Calc'!$B$6:$B$83=$A$19)*('Headcount Calc'!$C$6:$C$83="Open role")*('Headcount Calc'!$H$6:$H$83=1)*('Headcount Calc'!$F$6:$F$83&gt;=B$4)*('Headcount Calc'!$F$6:$F$83&lt;=EOMONTH(B$4,0))*'Headcount Calc'!$E$6:$E$83)*Assumptions!$B$19+SUMPRODUCT(('Headcount Calc'!$B$6:$B$83=$A$19)*('Headcount Calc'!$C$6:$C$83="Open role")*('Headcount Calc'!$H$6:$H$83=1)*('Headcount Calc'!$F$6:$F$83&gt;=B$4)*('Headcount Calc'!$F$6:$F$83&lt;=EOMONTH(B$4,0)))*Assumptions!$B$20</f>
        <v>0</v>
      </c>
      <c r="C25" s="40" t="n">
        <f aca="false">SUMPRODUCT(('Headcount Calc'!$B$6:$B$83=$A$19)*('Headcount Calc'!$C$6:$C$83="Open role")*('Headcount Calc'!$H$6:$H$83=1)*('Headcount Calc'!$F$6:$F$83&gt;=C$4)*('Headcount Calc'!$F$6:$F$83&lt;=EOMONTH(C$4,0))*'Headcount Calc'!$E$6:$E$83)*Assumptions!$B$19+SUMPRODUCT(('Headcount Calc'!$B$6:$B$83=$A$19)*('Headcount Calc'!$C$6:$C$83="Open role")*('Headcount Calc'!$H$6:$H$83=1)*('Headcount Calc'!$F$6:$F$83&gt;=C$4)*('Headcount Calc'!$F$6:$F$83&lt;=EOMONTH(C$4,0)))*Assumptions!$B$20</f>
        <v>0</v>
      </c>
      <c r="D25" s="40" t="n">
        <f aca="false">SUMPRODUCT(('Headcount Calc'!$B$6:$B$83=$A$19)*('Headcount Calc'!$C$6:$C$83="Open role")*('Headcount Calc'!$H$6:$H$83=1)*('Headcount Calc'!$F$6:$F$83&gt;=D$4)*('Headcount Calc'!$F$6:$F$83&lt;=EOMONTH(D$4,0))*'Headcount Calc'!$E$6:$E$83)*Assumptions!$B$19+SUMPRODUCT(('Headcount Calc'!$B$6:$B$83=$A$19)*('Headcount Calc'!$C$6:$C$83="Open role")*('Headcount Calc'!$H$6:$H$83=1)*('Headcount Calc'!$F$6:$F$83&gt;=D$4)*('Headcount Calc'!$F$6:$F$83&lt;=EOMONTH(D$4,0)))*Assumptions!$B$20</f>
        <v>23925</v>
      </c>
      <c r="E25" s="40" t="n">
        <f aca="false">SUMPRODUCT(('Headcount Calc'!$B$6:$B$83=$A$19)*('Headcount Calc'!$C$6:$C$83="Open role")*('Headcount Calc'!$H$6:$H$83=1)*('Headcount Calc'!$F$6:$F$83&gt;=E$4)*('Headcount Calc'!$F$6:$F$83&lt;=EOMONTH(E$4,0))*'Headcount Calc'!$E$6:$E$83)*Assumptions!$B$19+SUMPRODUCT(('Headcount Calc'!$B$6:$B$83=$A$19)*('Headcount Calc'!$C$6:$C$83="Open role")*('Headcount Calc'!$H$6:$H$83=1)*('Headcount Calc'!$F$6:$F$83&gt;=E$4)*('Headcount Calc'!$F$6:$F$83&lt;=EOMONTH(E$4,0)))*Assumptions!$B$20</f>
        <v>0</v>
      </c>
      <c r="F25" s="40" t="n">
        <f aca="false">SUMPRODUCT(('Headcount Calc'!$B$6:$B$83=$A$19)*('Headcount Calc'!$C$6:$C$83="Open role")*('Headcount Calc'!$H$6:$H$83=1)*('Headcount Calc'!$F$6:$F$83&gt;=F$4)*('Headcount Calc'!$F$6:$F$83&lt;=EOMONTH(F$4,0))*'Headcount Calc'!$E$6:$E$83)*Assumptions!$B$19+SUMPRODUCT(('Headcount Calc'!$B$6:$B$83=$A$19)*('Headcount Calc'!$C$6:$C$83="Open role")*('Headcount Calc'!$H$6:$H$83=1)*('Headcount Calc'!$F$6:$F$83&gt;=F$4)*('Headcount Calc'!$F$6:$F$83&lt;=EOMONTH(F$4,0)))*Assumptions!$B$20</f>
        <v>0</v>
      </c>
      <c r="G25" s="40" t="n">
        <f aca="false">SUMPRODUCT(('Headcount Calc'!$B$6:$B$83=$A$19)*('Headcount Calc'!$C$6:$C$83="Open role")*('Headcount Calc'!$H$6:$H$83=1)*('Headcount Calc'!$F$6:$F$83&gt;=G$4)*('Headcount Calc'!$F$6:$F$83&lt;=EOMONTH(G$4,0))*'Headcount Calc'!$E$6:$E$83)*Assumptions!$B$19+SUMPRODUCT(('Headcount Calc'!$B$6:$B$83=$A$19)*('Headcount Calc'!$C$6:$C$83="Open role")*('Headcount Calc'!$H$6:$H$83=1)*('Headcount Calc'!$F$6:$F$83&gt;=G$4)*('Headcount Calc'!$F$6:$F$83&lt;=EOMONTH(G$4,0)))*Assumptions!$B$20</f>
        <v>0</v>
      </c>
      <c r="H25" s="40" t="n">
        <f aca="false">SUMPRODUCT(('Headcount Calc'!$B$6:$B$83=$A$19)*('Headcount Calc'!$C$6:$C$83="Open role")*('Headcount Calc'!$H$6:$H$83=1)*('Headcount Calc'!$F$6:$F$83&gt;=H$4)*('Headcount Calc'!$F$6:$F$83&lt;=EOMONTH(H$4,0))*'Headcount Calc'!$E$6:$E$83)*Assumptions!$B$19+SUMPRODUCT(('Headcount Calc'!$B$6:$B$83=$A$19)*('Headcount Calc'!$C$6:$C$83="Open role")*('Headcount Calc'!$H$6:$H$83=1)*('Headcount Calc'!$F$6:$F$83&gt;=H$4)*('Headcount Calc'!$F$6:$F$83&lt;=EOMONTH(H$4,0)))*Assumptions!$B$20</f>
        <v>0</v>
      </c>
      <c r="I25" s="40" t="n">
        <f aca="false">SUMPRODUCT(('Headcount Calc'!$B$6:$B$83=$A$19)*('Headcount Calc'!$C$6:$C$83="Open role")*('Headcount Calc'!$H$6:$H$83=1)*('Headcount Calc'!$F$6:$F$83&gt;=I$4)*('Headcount Calc'!$F$6:$F$83&lt;=EOMONTH(I$4,0))*'Headcount Calc'!$E$6:$E$83)*Assumptions!$B$19+SUMPRODUCT(('Headcount Calc'!$B$6:$B$83=$A$19)*('Headcount Calc'!$C$6:$C$83="Open role")*('Headcount Calc'!$H$6:$H$83=1)*('Headcount Calc'!$F$6:$F$83&gt;=I$4)*('Headcount Calc'!$F$6:$F$83&lt;=EOMONTH(I$4,0)))*Assumptions!$B$20</f>
        <v>0</v>
      </c>
      <c r="J25" s="40" t="n">
        <f aca="false">SUMPRODUCT(('Headcount Calc'!$B$6:$B$83=$A$19)*('Headcount Calc'!$C$6:$C$83="Open role")*('Headcount Calc'!$H$6:$H$83=1)*('Headcount Calc'!$F$6:$F$83&gt;=J$4)*('Headcount Calc'!$F$6:$F$83&lt;=EOMONTH(J$4,0))*'Headcount Calc'!$E$6:$E$83)*Assumptions!$B$19+SUMPRODUCT(('Headcount Calc'!$B$6:$B$83=$A$19)*('Headcount Calc'!$C$6:$C$83="Open role")*('Headcount Calc'!$H$6:$H$83=1)*('Headcount Calc'!$F$6:$F$83&gt;=J$4)*('Headcount Calc'!$F$6:$F$83&lt;=EOMONTH(J$4,0)))*Assumptions!$B$20</f>
        <v>0</v>
      </c>
      <c r="K25" s="40" t="n">
        <f aca="false">SUMPRODUCT(('Headcount Calc'!$B$6:$B$83=$A$19)*('Headcount Calc'!$C$6:$C$83="Open role")*('Headcount Calc'!$H$6:$H$83=1)*('Headcount Calc'!$F$6:$F$83&gt;=K$4)*('Headcount Calc'!$F$6:$F$83&lt;=EOMONTH(K$4,0))*'Headcount Calc'!$E$6:$E$83)*Assumptions!$B$19+SUMPRODUCT(('Headcount Calc'!$B$6:$B$83=$A$19)*('Headcount Calc'!$C$6:$C$83="Open role")*('Headcount Calc'!$H$6:$H$83=1)*('Headcount Calc'!$F$6:$F$83&gt;=K$4)*('Headcount Calc'!$F$6:$F$83&lt;=EOMONTH(K$4,0)))*Assumptions!$B$20</f>
        <v>0</v>
      </c>
      <c r="L25" s="40" t="n">
        <f aca="false">SUMPRODUCT(('Headcount Calc'!$B$6:$B$83=$A$19)*('Headcount Calc'!$C$6:$C$83="Open role")*('Headcount Calc'!$H$6:$H$83=1)*('Headcount Calc'!$F$6:$F$83&gt;=L$4)*('Headcount Calc'!$F$6:$F$83&lt;=EOMONTH(L$4,0))*'Headcount Calc'!$E$6:$E$83)*Assumptions!$B$19+SUMPRODUCT(('Headcount Calc'!$B$6:$B$83=$A$19)*('Headcount Calc'!$C$6:$C$83="Open role")*('Headcount Calc'!$H$6:$H$83=1)*('Headcount Calc'!$F$6:$F$83&gt;=L$4)*('Headcount Calc'!$F$6:$F$83&lt;=EOMONTH(L$4,0)))*Assumptions!$B$20</f>
        <v>0</v>
      </c>
      <c r="M25" s="40" t="n">
        <f aca="false">SUMPRODUCT(('Headcount Calc'!$B$6:$B$83=$A$19)*('Headcount Calc'!$C$6:$C$83="Open role")*('Headcount Calc'!$H$6:$H$83=1)*('Headcount Calc'!$F$6:$F$83&gt;=M$4)*('Headcount Calc'!$F$6:$F$83&lt;=EOMONTH(M$4,0))*'Headcount Calc'!$E$6:$E$83)*Assumptions!$B$19+SUMPRODUCT(('Headcount Calc'!$B$6:$B$83=$A$19)*('Headcount Calc'!$C$6:$C$83="Open role")*('Headcount Calc'!$H$6:$H$83=1)*('Headcount Calc'!$F$6:$F$83&gt;=M$4)*('Headcount Calc'!$F$6:$F$83&lt;=EOMONTH(M$4,0)))*Assumptions!$B$20</f>
        <v>0</v>
      </c>
      <c r="N25" s="45" t="n">
        <f aca="false">SUM(B25:M25)</f>
        <v>23925</v>
      </c>
    </row>
    <row r="26" customFormat="false" ht="15" hidden="false" customHeight="true" outlineLevel="0" collapsed="false">
      <c r="A26" s="6" t="s">
        <v>232</v>
      </c>
      <c r="B26" s="40" t="n">
        <f aca="false">B20*Assumptions!$B$21</f>
        <v>1250</v>
      </c>
      <c r="C26" s="40" t="n">
        <f aca="false">C20*Assumptions!$B$21</f>
        <v>1250</v>
      </c>
      <c r="D26" s="40" t="n">
        <f aca="false">D20*Assumptions!$B$21</f>
        <v>1500</v>
      </c>
      <c r="E26" s="40" t="n">
        <f aca="false">E20*Assumptions!$B$21</f>
        <v>1500</v>
      </c>
      <c r="F26" s="40" t="n">
        <f aca="false">F20*Assumptions!$B$21</f>
        <v>1500</v>
      </c>
      <c r="G26" s="40" t="n">
        <f aca="false">G20*Assumptions!$B$21</f>
        <v>1500</v>
      </c>
      <c r="H26" s="40" t="n">
        <f aca="false">H20*Assumptions!$B$21</f>
        <v>1500</v>
      </c>
      <c r="I26" s="40" t="n">
        <f aca="false">I20*Assumptions!$B$21</f>
        <v>1500</v>
      </c>
      <c r="J26" s="40" t="n">
        <f aca="false">J20*Assumptions!$B$21</f>
        <v>1500</v>
      </c>
      <c r="K26" s="40" t="n">
        <f aca="false">K20*Assumptions!$B$21</f>
        <v>1500</v>
      </c>
      <c r="L26" s="40" t="n">
        <f aca="false">L20*Assumptions!$B$21</f>
        <v>1500</v>
      </c>
      <c r="M26" s="40" t="n">
        <f aca="false">M20*Assumptions!$B$21</f>
        <v>1500</v>
      </c>
      <c r="N26" s="45" t="n">
        <f aca="false">SUM(B26:M26)</f>
        <v>17500</v>
      </c>
    </row>
    <row r="27" customFormat="false" ht="15" hidden="false" customHeight="true" outlineLevel="0" collapsed="false">
      <c r="A27" s="6" t="s">
        <v>233</v>
      </c>
      <c r="B27" s="40" t="n">
        <f aca="false">B20*VLOOKUP($A$19,Assumptions!$A$35:$C$40,2,FALSE())</f>
        <v>1000</v>
      </c>
      <c r="C27" s="40" t="n">
        <f aca="false">C20*VLOOKUP($A$19,Assumptions!$A$35:$C$40,2,FALSE())</f>
        <v>1000</v>
      </c>
      <c r="D27" s="40" t="n">
        <f aca="false">D20*VLOOKUP($A$19,Assumptions!$A$35:$C$40,2,FALSE())</f>
        <v>1200</v>
      </c>
      <c r="E27" s="40" t="n">
        <f aca="false">E20*VLOOKUP($A$19,Assumptions!$A$35:$C$40,2,FALSE())</f>
        <v>1200</v>
      </c>
      <c r="F27" s="40" t="n">
        <f aca="false">F20*VLOOKUP($A$19,Assumptions!$A$35:$C$40,2,FALSE())</f>
        <v>1200</v>
      </c>
      <c r="G27" s="40" t="n">
        <f aca="false">G20*VLOOKUP($A$19,Assumptions!$A$35:$C$40,2,FALSE())</f>
        <v>1200</v>
      </c>
      <c r="H27" s="40" t="n">
        <f aca="false">H20*VLOOKUP($A$19,Assumptions!$A$35:$C$40,2,FALSE())</f>
        <v>1200</v>
      </c>
      <c r="I27" s="40" t="n">
        <f aca="false">I20*VLOOKUP($A$19,Assumptions!$A$35:$C$40,2,FALSE())</f>
        <v>1200</v>
      </c>
      <c r="J27" s="40" t="n">
        <f aca="false">J20*VLOOKUP($A$19,Assumptions!$A$35:$C$40,2,FALSE())</f>
        <v>1200</v>
      </c>
      <c r="K27" s="40" t="n">
        <f aca="false">K20*VLOOKUP($A$19,Assumptions!$A$35:$C$40,2,FALSE())</f>
        <v>1200</v>
      </c>
      <c r="L27" s="40" t="n">
        <f aca="false">L20*VLOOKUP($A$19,Assumptions!$A$35:$C$40,2,FALSE())</f>
        <v>1200</v>
      </c>
      <c r="M27" s="40" t="n">
        <f aca="false">M20*VLOOKUP($A$19,Assumptions!$A$35:$C$40,2,FALSE())</f>
        <v>1200</v>
      </c>
      <c r="N27" s="45" t="n">
        <f aca="false">SUM(B27:M27)</f>
        <v>14000</v>
      </c>
    </row>
    <row r="28" customFormat="false" ht="15" hidden="false" customHeight="true" outlineLevel="0" collapsed="false">
      <c r="A28" s="6" t="s">
        <v>234</v>
      </c>
      <c r="B28" s="40" t="n">
        <f aca="false">B20*Assumptions!$B$22</f>
        <v>3000</v>
      </c>
      <c r="C28" s="40" t="n">
        <f aca="false">C20*Assumptions!$B$22</f>
        <v>3000</v>
      </c>
      <c r="D28" s="40" t="n">
        <f aca="false">D20*Assumptions!$B$22</f>
        <v>3600</v>
      </c>
      <c r="E28" s="40" t="n">
        <f aca="false">E20*Assumptions!$B$22</f>
        <v>3600</v>
      </c>
      <c r="F28" s="40" t="n">
        <f aca="false">F20*Assumptions!$B$22</f>
        <v>3600</v>
      </c>
      <c r="G28" s="40" t="n">
        <f aca="false">G20*Assumptions!$B$22</f>
        <v>3600</v>
      </c>
      <c r="H28" s="40" t="n">
        <f aca="false">H20*Assumptions!$B$22</f>
        <v>3600</v>
      </c>
      <c r="I28" s="40" t="n">
        <f aca="false">I20*Assumptions!$B$22</f>
        <v>3600</v>
      </c>
      <c r="J28" s="40" t="n">
        <f aca="false">J20*Assumptions!$B$22</f>
        <v>3600</v>
      </c>
      <c r="K28" s="40" t="n">
        <f aca="false">K20*Assumptions!$B$22</f>
        <v>3600</v>
      </c>
      <c r="L28" s="40" t="n">
        <f aca="false">L20*Assumptions!$B$22</f>
        <v>3600</v>
      </c>
      <c r="M28" s="40" t="n">
        <f aca="false">M20*Assumptions!$B$22</f>
        <v>3600</v>
      </c>
      <c r="N28" s="45" t="n">
        <f aca="false">SUM(B28:M28)</f>
        <v>42000</v>
      </c>
    </row>
    <row r="29" customFormat="false" ht="15" hidden="false" customHeight="true" outlineLevel="0" collapsed="false">
      <c r="A29" s="6" t="s">
        <v>235</v>
      </c>
      <c r="B29" s="40" t="n">
        <f aca="false">VLOOKUP($A$19,Assumptions!$A$35:$C$40,3,FALSE())/12*(1+Assumptions!$F$11)</f>
        <v>8333.33333333333</v>
      </c>
      <c r="C29" s="40" t="n">
        <f aca="false">VLOOKUP($A$19,Assumptions!$A$35:$C$40,3,FALSE())/12*(1+Assumptions!$F$11)</f>
        <v>8333.33333333333</v>
      </c>
      <c r="D29" s="40" t="n">
        <f aca="false">VLOOKUP($A$19,Assumptions!$A$35:$C$40,3,FALSE())/12*(1+Assumptions!$F$11)</f>
        <v>8333.33333333333</v>
      </c>
      <c r="E29" s="40" t="n">
        <f aca="false">VLOOKUP($A$19,Assumptions!$A$35:$C$40,3,FALSE())/12*(1+Assumptions!$F$11)</f>
        <v>8333.33333333333</v>
      </c>
      <c r="F29" s="40" t="n">
        <f aca="false">VLOOKUP($A$19,Assumptions!$A$35:$C$40,3,FALSE())/12*(1+Assumptions!$F$11)</f>
        <v>8333.33333333333</v>
      </c>
      <c r="G29" s="40" t="n">
        <f aca="false">VLOOKUP($A$19,Assumptions!$A$35:$C$40,3,FALSE())/12*(1+Assumptions!$F$11)</f>
        <v>8333.33333333333</v>
      </c>
      <c r="H29" s="40" t="n">
        <f aca="false">VLOOKUP($A$19,Assumptions!$A$35:$C$40,3,FALSE())/12*(1+Assumptions!$F$11)</f>
        <v>8333.33333333333</v>
      </c>
      <c r="I29" s="40" t="n">
        <f aca="false">VLOOKUP($A$19,Assumptions!$A$35:$C$40,3,FALSE())/12*(1+Assumptions!$F$11)</f>
        <v>8333.33333333333</v>
      </c>
      <c r="J29" s="40" t="n">
        <f aca="false">VLOOKUP($A$19,Assumptions!$A$35:$C$40,3,FALSE())/12*(1+Assumptions!$F$11)</f>
        <v>8333.33333333333</v>
      </c>
      <c r="K29" s="40" t="n">
        <f aca="false">VLOOKUP($A$19,Assumptions!$A$35:$C$40,3,FALSE())/12*(1+Assumptions!$F$11)</f>
        <v>8333.33333333333</v>
      </c>
      <c r="L29" s="40" t="n">
        <f aca="false">VLOOKUP($A$19,Assumptions!$A$35:$C$40,3,FALSE())/12*(1+Assumptions!$F$11)</f>
        <v>8333.33333333333</v>
      </c>
      <c r="M29" s="40" t="n">
        <f aca="false">VLOOKUP($A$19,Assumptions!$A$35:$C$40,3,FALSE())/12*(1+Assumptions!$F$11)</f>
        <v>8333.33333333333</v>
      </c>
      <c r="N29" s="45" t="n">
        <f aca="false">SUM(B29:M29)</f>
        <v>100000</v>
      </c>
    </row>
    <row r="30" customFormat="false" ht="15" hidden="false" customHeight="true" outlineLevel="0" collapsed="false">
      <c r="A30" s="16" t="s">
        <v>236</v>
      </c>
      <c r="B30" s="42" t="n">
        <f aca="false">SUM(B21:B29)</f>
        <v>93107.48</v>
      </c>
      <c r="C30" s="42" t="n">
        <f aca="false">SUM(C21:C29)</f>
        <v>93107.48</v>
      </c>
      <c r="D30" s="42" t="n">
        <f aca="false">SUM(D21:D29)</f>
        <v>132940.68</v>
      </c>
      <c r="E30" s="42" t="n">
        <f aca="false">SUM(E21:E29)</f>
        <v>111597.775133333</v>
      </c>
      <c r="F30" s="42" t="n">
        <f aca="false">SUM(F21:F29)</f>
        <v>111597.775133333</v>
      </c>
      <c r="G30" s="42" t="n">
        <f aca="false">SUM(G21:G29)</f>
        <v>111597.775133333</v>
      </c>
      <c r="H30" s="42" t="n">
        <f aca="false">SUM(H21:H29)</f>
        <v>111597.775133333</v>
      </c>
      <c r="I30" s="42" t="n">
        <f aca="false">SUM(I21:I29)</f>
        <v>111597.775133333</v>
      </c>
      <c r="J30" s="42" t="n">
        <f aca="false">SUM(J21:J29)</f>
        <v>111597.775133333</v>
      </c>
      <c r="K30" s="42" t="n">
        <f aca="false">SUM(K21:K29)</f>
        <v>111597.775133333</v>
      </c>
      <c r="L30" s="42" t="n">
        <f aca="false">SUM(L21:L29)</f>
        <v>111597.775133333</v>
      </c>
      <c r="M30" s="42" t="n">
        <f aca="false">SUM(M21:M29)</f>
        <v>111597.775133333</v>
      </c>
      <c r="N30" s="42" t="n">
        <f aca="false">SUM(B30:M30)</f>
        <v>1323535.6162</v>
      </c>
    </row>
    <row r="32" customFormat="false" ht="15" hidden="false" customHeight="true" outlineLevel="0" collapsed="false">
      <c r="A32" s="4" t="s">
        <v>65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A33" s="6" t="s">
        <v>226</v>
      </c>
      <c r="B33" s="43" t="n">
        <f aca="false">SUMIF('Headcount Calc'!$B$6:$B$83,$A$32,'Headcount Calc'!K$6:K$83)</f>
        <v>12</v>
      </c>
      <c r="C33" s="43" t="n">
        <f aca="false">SUMIF('Headcount Calc'!$B$6:$B$83,$A$32,'Headcount Calc'!L$6:L$83)</f>
        <v>12</v>
      </c>
      <c r="D33" s="43" t="n">
        <f aca="false">SUMIF('Headcount Calc'!$B$6:$B$83,$A$32,'Headcount Calc'!M$6:M$83)</f>
        <v>13</v>
      </c>
      <c r="E33" s="43" t="n">
        <f aca="false">SUMIF('Headcount Calc'!$B$6:$B$83,$A$32,'Headcount Calc'!N$6:N$83)</f>
        <v>13</v>
      </c>
      <c r="F33" s="43" t="n">
        <f aca="false">SUMIF('Headcount Calc'!$B$6:$B$83,$A$32,'Headcount Calc'!O$6:O$83)</f>
        <v>13</v>
      </c>
      <c r="G33" s="43" t="n">
        <f aca="false">SUMIF('Headcount Calc'!$B$6:$B$83,$A$32,'Headcount Calc'!P$6:P$83)</f>
        <v>14</v>
      </c>
      <c r="H33" s="43" t="n">
        <f aca="false">SUMIF('Headcount Calc'!$B$6:$B$83,$A$32,'Headcount Calc'!Q$6:Q$83)</f>
        <v>14</v>
      </c>
      <c r="I33" s="43" t="n">
        <f aca="false">SUMIF('Headcount Calc'!$B$6:$B$83,$A$32,'Headcount Calc'!R$6:R$83)</f>
        <v>14</v>
      </c>
      <c r="J33" s="43" t="n">
        <f aca="false">SUMIF('Headcount Calc'!$B$6:$B$83,$A$32,'Headcount Calc'!S$6:S$83)</f>
        <v>14</v>
      </c>
      <c r="K33" s="43" t="n">
        <f aca="false">SUMIF('Headcount Calc'!$B$6:$B$83,$A$32,'Headcount Calc'!T$6:T$83)</f>
        <v>14</v>
      </c>
      <c r="L33" s="43" t="n">
        <f aca="false">SUMIF('Headcount Calc'!$B$6:$B$83,$A$32,'Headcount Calc'!U$6:U$83)</f>
        <v>14</v>
      </c>
      <c r="M33" s="43" t="n">
        <f aca="false">SUMIF('Headcount Calc'!$B$6:$B$83,$A$32,'Headcount Calc'!V$6:V$83)</f>
        <v>14</v>
      </c>
      <c r="N33" s="44" t="n">
        <f aca="false">AVERAGE(B33:M33)</f>
        <v>13.4166666666667</v>
      </c>
    </row>
    <row r="34" customFormat="false" ht="15" hidden="false" customHeight="true" outlineLevel="0" collapsed="false">
      <c r="A34" s="6" t="s">
        <v>227</v>
      </c>
      <c r="B34" s="40" t="n">
        <f aca="false">SUMIF('Headcount Calc'!$B$6:$B$83,$A$32,'Headcount Calc'!W$6:W$83)</f>
        <v>93083.3333333333</v>
      </c>
      <c r="C34" s="40" t="n">
        <f aca="false">SUMIF('Headcount Calc'!$B$6:$B$83,$A$32,'Headcount Calc'!X$6:X$83)</f>
        <v>93083.3333333333</v>
      </c>
      <c r="D34" s="40" t="n">
        <f aca="false">SUMIF('Headcount Calc'!$B$6:$B$83,$A$32,'Headcount Calc'!Y$6:Y$83)</f>
        <v>99750</v>
      </c>
      <c r="E34" s="40" t="n">
        <f aca="false">SUMIF('Headcount Calc'!$B$6:$B$83,$A$32,'Headcount Calc'!Z$6:Z$83)</f>
        <v>103007.916666667</v>
      </c>
      <c r="F34" s="40" t="n">
        <f aca="false">SUMIF('Headcount Calc'!$B$6:$B$83,$A$32,'Headcount Calc'!AA$6:AA$83)</f>
        <v>103007.916666667</v>
      </c>
      <c r="G34" s="40" t="n">
        <f aca="false">SUMIF('Headcount Calc'!$B$6:$B$83,$A$32,'Headcount Calc'!AB$6:AB$83)</f>
        <v>109757.916666667</v>
      </c>
      <c r="H34" s="40" t="n">
        <f aca="false">SUMIF('Headcount Calc'!$B$6:$B$83,$A$32,'Headcount Calc'!AC$6:AC$83)</f>
        <v>109990.208333333</v>
      </c>
      <c r="I34" s="40" t="n">
        <f aca="false">SUMIF('Headcount Calc'!$B$6:$B$83,$A$32,'Headcount Calc'!AD$6:AD$83)</f>
        <v>109990.208333333</v>
      </c>
      <c r="J34" s="40" t="n">
        <f aca="false">SUMIF('Headcount Calc'!$B$6:$B$83,$A$32,'Headcount Calc'!AE$6:AE$83)</f>
        <v>109990.208333333</v>
      </c>
      <c r="K34" s="40" t="n">
        <f aca="false">SUMIF('Headcount Calc'!$B$6:$B$83,$A$32,'Headcount Calc'!AF$6:AF$83)</f>
        <v>109990.208333333</v>
      </c>
      <c r="L34" s="40" t="n">
        <f aca="false">SUMIF('Headcount Calc'!$B$6:$B$83,$A$32,'Headcount Calc'!AG$6:AG$83)</f>
        <v>109990.208333333</v>
      </c>
      <c r="M34" s="40" t="n">
        <f aca="false">SUMIF('Headcount Calc'!$B$6:$B$83,$A$32,'Headcount Calc'!AH$6:AH$83)</f>
        <v>109990.208333333</v>
      </c>
      <c r="N34" s="45" t="n">
        <f aca="false">SUM(B34:M34)</f>
        <v>1261631.66666667</v>
      </c>
    </row>
    <row r="35" customFormat="false" ht="15" hidden="false" customHeight="true" outlineLevel="0" collapsed="false">
      <c r="A35" s="6" t="s">
        <v>228</v>
      </c>
      <c r="B35" s="40" t="n">
        <f aca="false">SUMPRODUCT(('Headcount Calc'!$B$6:$B$83=$A$32)*'Headcount Calc'!W$6:W$83*'Headcount Calc'!$I$6:$I$83)</f>
        <v>27925</v>
      </c>
      <c r="C35" s="40" t="n">
        <f aca="false">SUMPRODUCT(('Headcount Calc'!$B$6:$B$83=$A$32)*'Headcount Calc'!X$6:X$83*'Headcount Calc'!$I$6:$I$83)</f>
        <v>27925</v>
      </c>
      <c r="D35" s="40" t="n">
        <f aca="false">SUMPRODUCT(('Headcount Calc'!$B$6:$B$83=$A$32)*'Headcount Calc'!Y$6:Y$83*'Headcount Calc'!$I$6:$I$83)</f>
        <v>29925</v>
      </c>
      <c r="E35" s="40" t="n">
        <f aca="false">SUMPRODUCT(('Headcount Calc'!$B$6:$B$83=$A$32)*'Headcount Calc'!Z$6:Z$83*'Headcount Calc'!$I$6:$I$83)</f>
        <v>30902.375</v>
      </c>
      <c r="F35" s="40" t="n">
        <f aca="false">SUMPRODUCT(('Headcount Calc'!$B$6:$B$83=$A$32)*'Headcount Calc'!AA$6:AA$83*'Headcount Calc'!$I$6:$I$83)</f>
        <v>30902.375</v>
      </c>
      <c r="G35" s="40" t="n">
        <f aca="false">SUMPRODUCT(('Headcount Calc'!$B$6:$B$83=$A$32)*'Headcount Calc'!AB$6:AB$83*'Headcount Calc'!$I$6:$I$83)</f>
        <v>32927.375</v>
      </c>
      <c r="H35" s="40" t="n">
        <f aca="false">SUMPRODUCT(('Headcount Calc'!$B$6:$B$83=$A$32)*'Headcount Calc'!AC$6:AC$83*'Headcount Calc'!$I$6:$I$83)</f>
        <v>32997.0625</v>
      </c>
      <c r="I35" s="40" t="n">
        <f aca="false">SUMPRODUCT(('Headcount Calc'!$B$6:$B$83=$A$32)*'Headcount Calc'!AD$6:AD$83*'Headcount Calc'!$I$6:$I$83)</f>
        <v>32997.0625</v>
      </c>
      <c r="J35" s="40" t="n">
        <f aca="false">SUMPRODUCT(('Headcount Calc'!$B$6:$B$83=$A$32)*'Headcount Calc'!AE$6:AE$83*'Headcount Calc'!$I$6:$I$83)</f>
        <v>32997.0625</v>
      </c>
      <c r="K35" s="40" t="n">
        <f aca="false">SUMPRODUCT(('Headcount Calc'!$B$6:$B$83=$A$32)*'Headcount Calc'!AF$6:AF$83*'Headcount Calc'!$I$6:$I$83)</f>
        <v>32997.0625</v>
      </c>
      <c r="L35" s="40" t="n">
        <f aca="false">SUMPRODUCT(('Headcount Calc'!$B$6:$B$83=$A$32)*'Headcount Calc'!AG$6:AG$83*'Headcount Calc'!$I$6:$I$83)</f>
        <v>32997.0625</v>
      </c>
      <c r="M35" s="40" t="n">
        <f aca="false">SUMPRODUCT(('Headcount Calc'!$B$6:$B$83=$A$32)*'Headcount Calc'!AH$6:AH$83*'Headcount Calc'!$I$6:$I$83)</f>
        <v>32997.0625</v>
      </c>
      <c r="N35" s="45" t="n">
        <f aca="false">SUM(B35:M35)</f>
        <v>378489.5</v>
      </c>
    </row>
    <row r="36" customFormat="false" ht="15" hidden="false" customHeight="true" outlineLevel="0" collapsed="false">
      <c r="A36" s="6" t="s">
        <v>229</v>
      </c>
      <c r="B36" s="40" t="n">
        <f aca="false">(B34+B35)*Assumptions!$B$15</f>
        <v>8712.6</v>
      </c>
      <c r="C36" s="40" t="n">
        <f aca="false">(C34+C35)*Assumptions!$B$15</f>
        <v>8712.6</v>
      </c>
      <c r="D36" s="40" t="n">
        <f aca="false">(D34+D35)*Assumptions!$B$15</f>
        <v>9336.6</v>
      </c>
      <c r="E36" s="40" t="n">
        <f aca="false">(E34+E35)*Assumptions!$B$15</f>
        <v>9641.541</v>
      </c>
      <c r="F36" s="40" t="n">
        <f aca="false">(F34+F35)*Assumptions!$B$15</f>
        <v>9641.541</v>
      </c>
      <c r="G36" s="40" t="n">
        <f aca="false">(G34+G35)*Assumptions!$B$15</f>
        <v>10273.341</v>
      </c>
      <c r="H36" s="40" t="n">
        <f aca="false">(H34+H35)*Assumptions!$B$15</f>
        <v>10295.0835</v>
      </c>
      <c r="I36" s="40" t="n">
        <f aca="false">(I34+I35)*Assumptions!$B$15</f>
        <v>10295.0835</v>
      </c>
      <c r="J36" s="40" t="n">
        <f aca="false">(J34+J35)*Assumptions!$B$15</f>
        <v>10295.0835</v>
      </c>
      <c r="K36" s="40" t="n">
        <f aca="false">(K34+K35)*Assumptions!$B$15</f>
        <v>10295.0835</v>
      </c>
      <c r="L36" s="40" t="n">
        <f aca="false">(L34+L35)*Assumptions!$B$15</f>
        <v>10295.0835</v>
      </c>
      <c r="M36" s="40" t="n">
        <f aca="false">(M34+M35)*Assumptions!$B$15</f>
        <v>10295.0835</v>
      </c>
      <c r="N36" s="45" t="n">
        <f aca="false">SUM(B36:M36)</f>
        <v>118088.724</v>
      </c>
    </row>
    <row r="37" customFormat="false" ht="15" hidden="false" customHeight="true" outlineLevel="0" collapsed="false">
      <c r="A37" s="6" t="s">
        <v>230</v>
      </c>
      <c r="B37" s="40" t="n">
        <f aca="false">B33*Assumptions!$B$16</f>
        <v>13800</v>
      </c>
      <c r="C37" s="40" t="n">
        <f aca="false">C33*Assumptions!$B$16</f>
        <v>13800</v>
      </c>
      <c r="D37" s="40" t="n">
        <f aca="false">D33*Assumptions!$B$16</f>
        <v>14950</v>
      </c>
      <c r="E37" s="40" t="n">
        <f aca="false">E33*Assumptions!$B$16</f>
        <v>14950</v>
      </c>
      <c r="F37" s="40" t="n">
        <f aca="false">F33*Assumptions!$B$16</f>
        <v>14950</v>
      </c>
      <c r="G37" s="40" t="n">
        <f aca="false">G33*Assumptions!$B$16</f>
        <v>16100</v>
      </c>
      <c r="H37" s="40" t="n">
        <f aca="false">H33*Assumptions!$B$16</f>
        <v>16100</v>
      </c>
      <c r="I37" s="40" t="n">
        <f aca="false">I33*Assumptions!$B$16</f>
        <v>16100</v>
      </c>
      <c r="J37" s="40" t="n">
        <f aca="false">J33*Assumptions!$B$16</f>
        <v>16100</v>
      </c>
      <c r="K37" s="40" t="n">
        <f aca="false">K33*Assumptions!$B$16</f>
        <v>16100</v>
      </c>
      <c r="L37" s="40" t="n">
        <f aca="false">L33*Assumptions!$B$16</f>
        <v>16100</v>
      </c>
      <c r="M37" s="40" t="n">
        <f aca="false">M33*Assumptions!$B$16</f>
        <v>16100</v>
      </c>
      <c r="N37" s="45" t="n">
        <f aca="false">SUM(B37:M37)</f>
        <v>185150</v>
      </c>
    </row>
    <row r="38" customFormat="false" ht="15" hidden="false" customHeight="true" outlineLevel="0" collapsed="false">
      <c r="A38" s="6" t="s">
        <v>231</v>
      </c>
      <c r="B38" s="40" t="n">
        <f aca="false">SUMPRODUCT(('Headcount Calc'!$B$6:$B$83=$A$32)*('Headcount Calc'!$C$6:$C$83="Open role")*('Headcount Calc'!$H$6:$H$83=1)*('Headcount Calc'!$F$6:$F$83&gt;=B$4)*('Headcount Calc'!$F$6:$F$83&lt;=EOMONTH(B$4,0))*'Headcount Calc'!$E$6:$E$83)*Assumptions!$B$19+SUMPRODUCT(('Headcount Calc'!$B$6:$B$83=$A$32)*('Headcount Calc'!$C$6:$C$83="Open role")*('Headcount Calc'!$H$6:$H$83=1)*('Headcount Calc'!$F$6:$F$83&gt;=B$4)*('Headcount Calc'!$F$6:$F$83&lt;=EOMONTH(B$4,0)))*Assumptions!$B$20</f>
        <v>0</v>
      </c>
      <c r="C38" s="40" t="n">
        <f aca="false">SUMPRODUCT(('Headcount Calc'!$B$6:$B$83=$A$32)*('Headcount Calc'!$C$6:$C$83="Open role")*('Headcount Calc'!$H$6:$H$83=1)*('Headcount Calc'!$F$6:$F$83&gt;=C$4)*('Headcount Calc'!$F$6:$F$83&lt;=EOMONTH(C$4,0))*'Headcount Calc'!$E$6:$E$83)*Assumptions!$B$19+SUMPRODUCT(('Headcount Calc'!$B$6:$B$83=$A$32)*('Headcount Calc'!$C$6:$C$83="Open role")*('Headcount Calc'!$H$6:$H$83=1)*('Headcount Calc'!$F$6:$F$83&gt;=C$4)*('Headcount Calc'!$F$6:$F$83&lt;=EOMONTH(C$4,0)))*Assumptions!$B$20</f>
        <v>0</v>
      </c>
      <c r="D38" s="40" t="n">
        <f aca="false">SUMPRODUCT(('Headcount Calc'!$B$6:$B$83=$A$32)*('Headcount Calc'!$C$6:$C$83="Open role")*('Headcount Calc'!$H$6:$H$83=1)*('Headcount Calc'!$F$6:$F$83&gt;=D$4)*('Headcount Calc'!$F$6:$F$83&lt;=EOMONTH(D$4,0))*'Headcount Calc'!$E$6:$E$83)*Assumptions!$B$19+SUMPRODUCT(('Headcount Calc'!$B$6:$B$83=$A$32)*('Headcount Calc'!$C$6:$C$83="Open role")*('Headcount Calc'!$H$6:$H$83=1)*('Headcount Calc'!$F$6:$F$83&gt;=D$4)*('Headcount Calc'!$F$6:$F$83&lt;=EOMONTH(D$4,0)))*Assumptions!$B$20</f>
        <v>15000</v>
      </c>
      <c r="E38" s="40" t="n">
        <f aca="false">SUMPRODUCT(('Headcount Calc'!$B$6:$B$83=$A$32)*('Headcount Calc'!$C$6:$C$83="Open role")*('Headcount Calc'!$H$6:$H$83=1)*('Headcount Calc'!$F$6:$F$83&gt;=E$4)*('Headcount Calc'!$F$6:$F$83&lt;=EOMONTH(E$4,0))*'Headcount Calc'!$E$6:$E$83)*Assumptions!$B$19+SUMPRODUCT(('Headcount Calc'!$B$6:$B$83=$A$32)*('Headcount Calc'!$C$6:$C$83="Open role")*('Headcount Calc'!$H$6:$H$83=1)*('Headcount Calc'!$F$6:$F$83&gt;=E$4)*('Headcount Calc'!$F$6:$F$83&lt;=EOMONTH(E$4,0)))*Assumptions!$B$20</f>
        <v>0</v>
      </c>
      <c r="F38" s="40" t="n">
        <f aca="false">SUMPRODUCT(('Headcount Calc'!$B$6:$B$83=$A$32)*('Headcount Calc'!$C$6:$C$83="Open role")*('Headcount Calc'!$H$6:$H$83=1)*('Headcount Calc'!$F$6:$F$83&gt;=F$4)*('Headcount Calc'!$F$6:$F$83&lt;=EOMONTH(F$4,0))*'Headcount Calc'!$E$6:$E$83)*Assumptions!$B$19+SUMPRODUCT(('Headcount Calc'!$B$6:$B$83=$A$32)*('Headcount Calc'!$C$6:$C$83="Open role")*('Headcount Calc'!$H$6:$H$83=1)*('Headcount Calc'!$F$6:$F$83&gt;=F$4)*('Headcount Calc'!$F$6:$F$83&lt;=EOMONTH(F$4,0)))*Assumptions!$B$20</f>
        <v>0</v>
      </c>
      <c r="G38" s="40" t="n">
        <f aca="false">SUMPRODUCT(('Headcount Calc'!$B$6:$B$83=$A$32)*('Headcount Calc'!$C$6:$C$83="Open role")*('Headcount Calc'!$H$6:$H$83=1)*('Headcount Calc'!$F$6:$F$83&gt;=G$4)*('Headcount Calc'!$F$6:$F$83&lt;=EOMONTH(G$4,0))*'Headcount Calc'!$E$6:$E$83)*Assumptions!$B$19+SUMPRODUCT(('Headcount Calc'!$B$6:$B$83=$A$32)*('Headcount Calc'!$C$6:$C$83="Open role")*('Headcount Calc'!$H$6:$H$83=1)*('Headcount Calc'!$F$6:$F$83&gt;=G$4)*('Headcount Calc'!$F$6:$F$83&lt;=EOMONTH(G$4,0)))*Assumptions!$B$20</f>
        <v>15150</v>
      </c>
      <c r="H38" s="40" t="n">
        <f aca="false">SUMPRODUCT(('Headcount Calc'!$B$6:$B$83=$A$32)*('Headcount Calc'!$C$6:$C$83="Open role")*('Headcount Calc'!$H$6:$H$83=1)*('Headcount Calc'!$F$6:$F$83&gt;=H$4)*('Headcount Calc'!$F$6:$F$83&lt;=EOMONTH(H$4,0))*'Headcount Calc'!$E$6:$E$83)*Assumptions!$B$19+SUMPRODUCT(('Headcount Calc'!$B$6:$B$83=$A$32)*('Headcount Calc'!$C$6:$C$83="Open role")*('Headcount Calc'!$H$6:$H$83=1)*('Headcount Calc'!$F$6:$F$83&gt;=H$4)*('Headcount Calc'!$F$6:$F$83&lt;=EOMONTH(H$4,0)))*Assumptions!$B$20</f>
        <v>15450</v>
      </c>
      <c r="I38" s="40" t="n">
        <f aca="false">SUMPRODUCT(('Headcount Calc'!$B$6:$B$83=$A$32)*('Headcount Calc'!$C$6:$C$83="Open role")*('Headcount Calc'!$H$6:$H$83=1)*('Headcount Calc'!$F$6:$F$83&gt;=I$4)*('Headcount Calc'!$F$6:$F$83&lt;=EOMONTH(I$4,0))*'Headcount Calc'!$E$6:$E$83)*Assumptions!$B$19+SUMPRODUCT(('Headcount Calc'!$B$6:$B$83=$A$32)*('Headcount Calc'!$C$6:$C$83="Open role")*('Headcount Calc'!$H$6:$H$83=1)*('Headcount Calc'!$F$6:$F$83&gt;=I$4)*('Headcount Calc'!$F$6:$F$83&lt;=EOMONTH(I$4,0)))*Assumptions!$B$20</f>
        <v>0</v>
      </c>
      <c r="J38" s="40" t="n">
        <f aca="false">SUMPRODUCT(('Headcount Calc'!$B$6:$B$83=$A$32)*('Headcount Calc'!$C$6:$C$83="Open role")*('Headcount Calc'!$H$6:$H$83=1)*('Headcount Calc'!$F$6:$F$83&gt;=J$4)*('Headcount Calc'!$F$6:$F$83&lt;=EOMONTH(J$4,0))*'Headcount Calc'!$E$6:$E$83)*Assumptions!$B$19+SUMPRODUCT(('Headcount Calc'!$B$6:$B$83=$A$32)*('Headcount Calc'!$C$6:$C$83="Open role")*('Headcount Calc'!$H$6:$H$83=1)*('Headcount Calc'!$F$6:$F$83&gt;=J$4)*('Headcount Calc'!$F$6:$F$83&lt;=EOMONTH(J$4,0)))*Assumptions!$B$20</f>
        <v>0</v>
      </c>
      <c r="K38" s="40" t="n">
        <f aca="false">SUMPRODUCT(('Headcount Calc'!$B$6:$B$83=$A$32)*('Headcount Calc'!$C$6:$C$83="Open role")*('Headcount Calc'!$H$6:$H$83=1)*('Headcount Calc'!$F$6:$F$83&gt;=K$4)*('Headcount Calc'!$F$6:$F$83&lt;=EOMONTH(K$4,0))*'Headcount Calc'!$E$6:$E$83)*Assumptions!$B$19+SUMPRODUCT(('Headcount Calc'!$B$6:$B$83=$A$32)*('Headcount Calc'!$C$6:$C$83="Open role")*('Headcount Calc'!$H$6:$H$83=1)*('Headcount Calc'!$F$6:$F$83&gt;=K$4)*('Headcount Calc'!$F$6:$F$83&lt;=EOMONTH(K$4,0)))*Assumptions!$B$20</f>
        <v>0</v>
      </c>
      <c r="L38" s="40" t="n">
        <f aca="false">SUMPRODUCT(('Headcount Calc'!$B$6:$B$83=$A$32)*('Headcount Calc'!$C$6:$C$83="Open role")*('Headcount Calc'!$H$6:$H$83=1)*('Headcount Calc'!$F$6:$F$83&gt;=L$4)*('Headcount Calc'!$F$6:$F$83&lt;=EOMONTH(L$4,0))*'Headcount Calc'!$E$6:$E$83)*Assumptions!$B$19+SUMPRODUCT(('Headcount Calc'!$B$6:$B$83=$A$32)*('Headcount Calc'!$C$6:$C$83="Open role")*('Headcount Calc'!$H$6:$H$83=1)*('Headcount Calc'!$F$6:$F$83&gt;=L$4)*('Headcount Calc'!$F$6:$F$83&lt;=EOMONTH(L$4,0)))*Assumptions!$B$20</f>
        <v>0</v>
      </c>
      <c r="M38" s="40" t="n">
        <f aca="false">SUMPRODUCT(('Headcount Calc'!$B$6:$B$83=$A$32)*('Headcount Calc'!$C$6:$C$83="Open role")*('Headcount Calc'!$H$6:$H$83=1)*('Headcount Calc'!$F$6:$F$83&gt;=M$4)*('Headcount Calc'!$F$6:$F$83&lt;=EOMONTH(M$4,0))*'Headcount Calc'!$E$6:$E$83)*Assumptions!$B$19+SUMPRODUCT(('Headcount Calc'!$B$6:$B$83=$A$32)*('Headcount Calc'!$C$6:$C$83="Open role")*('Headcount Calc'!$H$6:$H$83=1)*('Headcount Calc'!$F$6:$F$83&gt;=M$4)*('Headcount Calc'!$F$6:$F$83&lt;=EOMONTH(M$4,0)))*Assumptions!$B$20</f>
        <v>0</v>
      </c>
      <c r="N38" s="45" t="n">
        <f aca="false">SUM(B38:M38)</f>
        <v>45600</v>
      </c>
    </row>
    <row r="39" customFormat="false" ht="15" hidden="false" customHeight="true" outlineLevel="0" collapsed="false">
      <c r="A39" s="6" t="s">
        <v>232</v>
      </c>
      <c r="B39" s="40" t="n">
        <f aca="false">B33*Assumptions!$B$21</f>
        <v>3000</v>
      </c>
      <c r="C39" s="40" t="n">
        <f aca="false">C33*Assumptions!$B$21</f>
        <v>3000</v>
      </c>
      <c r="D39" s="40" t="n">
        <f aca="false">D33*Assumptions!$B$21</f>
        <v>3250</v>
      </c>
      <c r="E39" s="40" t="n">
        <f aca="false">E33*Assumptions!$B$21</f>
        <v>3250</v>
      </c>
      <c r="F39" s="40" t="n">
        <f aca="false">F33*Assumptions!$B$21</f>
        <v>3250</v>
      </c>
      <c r="G39" s="40" t="n">
        <f aca="false">G33*Assumptions!$B$21</f>
        <v>3500</v>
      </c>
      <c r="H39" s="40" t="n">
        <f aca="false">H33*Assumptions!$B$21</f>
        <v>3500</v>
      </c>
      <c r="I39" s="40" t="n">
        <f aca="false">I33*Assumptions!$B$21</f>
        <v>3500</v>
      </c>
      <c r="J39" s="40" t="n">
        <f aca="false">J33*Assumptions!$B$21</f>
        <v>3500</v>
      </c>
      <c r="K39" s="40" t="n">
        <f aca="false">K33*Assumptions!$B$21</f>
        <v>3500</v>
      </c>
      <c r="L39" s="40" t="n">
        <f aca="false">L33*Assumptions!$B$21</f>
        <v>3500</v>
      </c>
      <c r="M39" s="40" t="n">
        <f aca="false">M33*Assumptions!$B$21</f>
        <v>3500</v>
      </c>
      <c r="N39" s="45" t="n">
        <f aca="false">SUM(B39:M39)</f>
        <v>40250</v>
      </c>
    </row>
    <row r="40" customFormat="false" ht="15" hidden="false" customHeight="true" outlineLevel="0" collapsed="false">
      <c r="A40" s="6" t="s">
        <v>233</v>
      </c>
      <c r="B40" s="40" t="n">
        <f aca="false">B33*VLOOKUP($A$32,Assumptions!$A$35:$C$40,2,FALSE())</f>
        <v>14400</v>
      </c>
      <c r="C40" s="40" t="n">
        <f aca="false">C33*VLOOKUP($A$32,Assumptions!$A$35:$C$40,2,FALSE())</f>
        <v>14400</v>
      </c>
      <c r="D40" s="40" t="n">
        <f aca="false">D33*VLOOKUP($A$32,Assumptions!$A$35:$C$40,2,FALSE())</f>
        <v>15600</v>
      </c>
      <c r="E40" s="40" t="n">
        <f aca="false">E33*VLOOKUP($A$32,Assumptions!$A$35:$C$40,2,FALSE())</f>
        <v>15600</v>
      </c>
      <c r="F40" s="40" t="n">
        <f aca="false">F33*VLOOKUP($A$32,Assumptions!$A$35:$C$40,2,FALSE())</f>
        <v>15600</v>
      </c>
      <c r="G40" s="40" t="n">
        <f aca="false">G33*VLOOKUP($A$32,Assumptions!$A$35:$C$40,2,FALSE())</f>
        <v>16800</v>
      </c>
      <c r="H40" s="40" t="n">
        <f aca="false">H33*VLOOKUP($A$32,Assumptions!$A$35:$C$40,2,FALSE())</f>
        <v>16800</v>
      </c>
      <c r="I40" s="40" t="n">
        <f aca="false">I33*VLOOKUP($A$32,Assumptions!$A$35:$C$40,2,FALSE())</f>
        <v>16800</v>
      </c>
      <c r="J40" s="40" t="n">
        <f aca="false">J33*VLOOKUP($A$32,Assumptions!$A$35:$C$40,2,FALSE())</f>
        <v>16800</v>
      </c>
      <c r="K40" s="40" t="n">
        <f aca="false">K33*VLOOKUP($A$32,Assumptions!$A$35:$C$40,2,FALSE())</f>
        <v>16800</v>
      </c>
      <c r="L40" s="40" t="n">
        <f aca="false">L33*VLOOKUP($A$32,Assumptions!$A$35:$C$40,2,FALSE())</f>
        <v>16800</v>
      </c>
      <c r="M40" s="40" t="n">
        <f aca="false">M33*VLOOKUP($A$32,Assumptions!$A$35:$C$40,2,FALSE())</f>
        <v>16800</v>
      </c>
      <c r="N40" s="45" t="n">
        <f aca="false">SUM(B40:M40)</f>
        <v>193200</v>
      </c>
    </row>
    <row r="41" customFormat="false" ht="15" hidden="false" customHeight="true" outlineLevel="0" collapsed="false">
      <c r="A41" s="6" t="s">
        <v>234</v>
      </c>
      <c r="B41" s="40" t="n">
        <f aca="false">B33*Assumptions!$B$22</f>
        <v>7200</v>
      </c>
      <c r="C41" s="40" t="n">
        <f aca="false">C33*Assumptions!$B$22</f>
        <v>7200</v>
      </c>
      <c r="D41" s="40" t="n">
        <f aca="false">D33*Assumptions!$B$22</f>
        <v>7800</v>
      </c>
      <c r="E41" s="40" t="n">
        <f aca="false">E33*Assumptions!$B$22</f>
        <v>7800</v>
      </c>
      <c r="F41" s="40" t="n">
        <f aca="false">F33*Assumptions!$B$22</f>
        <v>7800</v>
      </c>
      <c r="G41" s="40" t="n">
        <f aca="false">G33*Assumptions!$B$22</f>
        <v>8400</v>
      </c>
      <c r="H41" s="40" t="n">
        <f aca="false">H33*Assumptions!$B$22</f>
        <v>8400</v>
      </c>
      <c r="I41" s="40" t="n">
        <f aca="false">I33*Assumptions!$B$22</f>
        <v>8400</v>
      </c>
      <c r="J41" s="40" t="n">
        <f aca="false">J33*Assumptions!$B$22</f>
        <v>8400</v>
      </c>
      <c r="K41" s="40" t="n">
        <f aca="false">K33*Assumptions!$B$22</f>
        <v>8400</v>
      </c>
      <c r="L41" s="40" t="n">
        <f aca="false">L33*Assumptions!$B$22</f>
        <v>8400</v>
      </c>
      <c r="M41" s="40" t="n">
        <f aca="false">M33*Assumptions!$B$22</f>
        <v>8400</v>
      </c>
      <c r="N41" s="45" t="n">
        <f aca="false">SUM(B41:M41)</f>
        <v>96600</v>
      </c>
    </row>
    <row r="42" customFormat="false" ht="15" hidden="false" customHeight="true" outlineLevel="0" collapsed="false">
      <c r="A42" s="6" t="s">
        <v>235</v>
      </c>
      <c r="B42" s="40" t="n">
        <f aca="false">VLOOKUP($A$32,Assumptions!$A$35:$C$40,3,FALSE())/12*(1+Assumptions!$F$11)</f>
        <v>25000</v>
      </c>
      <c r="C42" s="40" t="n">
        <f aca="false">VLOOKUP($A$32,Assumptions!$A$35:$C$40,3,FALSE())/12*(1+Assumptions!$F$11)</f>
        <v>25000</v>
      </c>
      <c r="D42" s="40" t="n">
        <f aca="false">VLOOKUP($A$32,Assumptions!$A$35:$C$40,3,FALSE())/12*(1+Assumptions!$F$11)</f>
        <v>25000</v>
      </c>
      <c r="E42" s="40" t="n">
        <f aca="false">VLOOKUP($A$32,Assumptions!$A$35:$C$40,3,FALSE())/12*(1+Assumptions!$F$11)</f>
        <v>25000</v>
      </c>
      <c r="F42" s="40" t="n">
        <f aca="false">VLOOKUP($A$32,Assumptions!$A$35:$C$40,3,FALSE())/12*(1+Assumptions!$F$11)</f>
        <v>25000</v>
      </c>
      <c r="G42" s="40" t="n">
        <f aca="false">VLOOKUP($A$32,Assumptions!$A$35:$C$40,3,FALSE())/12*(1+Assumptions!$F$11)</f>
        <v>25000</v>
      </c>
      <c r="H42" s="40" t="n">
        <f aca="false">VLOOKUP($A$32,Assumptions!$A$35:$C$40,3,FALSE())/12*(1+Assumptions!$F$11)</f>
        <v>25000</v>
      </c>
      <c r="I42" s="40" t="n">
        <f aca="false">VLOOKUP($A$32,Assumptions!$A$35:$C$40,3,FALSE())/12*(1+Assumptions!$F$11)</f>
        <v>25000</v>
      </c>
      <c r="J42" s="40" t="n">
        <f aca="false">VLOOKUP($A$32,Assumptions!$A$35:$C$40,3,FALSE())/12*(1+Assumptions!$F$11)</f>
        <v>25000</v>
      </c>
      <c r="K42" s="40" t="n">
        <f aca="false">VLOOKUP($A$32,Assumptions!$A$35:$C$40,3,FALSE())/12*(1+Assumptions!$F$11)</f>
        <v>25000</v>
      </c>
      <c r="L42" s="40" t="n">
        <f aca="false">VLOOKUP($A$32,Assumptions!$A$35:$C$40,3,FALSE())/12*(1+Assumptions!$F$11)</f>
        <v>25000</v>
      </c>
      <c r="M42" s="40" t="n">
        <f aca="false">VLOOKUP($A$32,Assumptions!$A$35:$C$40,3,FALSE())/12*(1+Assumptions!$F$11)</f>
        <v>25000</v>
      </c>
      <c r="N42" s="45" t="n">
        <f aca="false">SUM(B42:M42)</f>
        <v>300000</v>
      </c>
    </row>
    <row r="43" customFormat="false" ht="15" hidden="false" customHeight="true" outlineLevel="0" collapsed="false">
      <c r="A43" s="16" t="s">
        <v>236</v>
      </c>
      <c r="B43" s="42" t="n">
        <f aca="false">SUM(B34:B42)</f>
        <v>193120.933333333</v>
      </c>
      <c r="C43" s="42" t="n">
        <f aca="false">SUM(C34:C42)</f>
        <v>193120.933333333</v>
      </c>
      <c r="D43" s="42" t="n">
        <f aca="false">SUM(D34:D42)</f>
        <v>220611.6</v>
      </c>
      <c r="E43" s="42" t="n">
        <f aca="false">SUM(E34:E42)</f>
        <v>210151.832666667</v>
      </c>
      <c r="F43" s="42" t="n">
        <f aca="false">SUM(F34:F42)</f>
        <v>210151.832666667</v>
      </c>
      <c r="G43" s="42" t="n">
        <f aca="false">SUM(G34:G42)</f>
        <v>237908.632666667</v>
      </c>
      <c r="H43" s="42" t="n">
        <f aca="false">SUM(H34:H42)</f>
        <v>238532.354333333</v>
      </c>
      <c r="I43" s="42" t="n">
        <f aca="false">SUM(I34:I42)</f>
        <v>223082.354333333</v>
      </c>
      <c r="J43" s="42" t="n">
        <f aca="false">SUM(J34:J42)</f>
        <v>223082.354333333</v>
      </c>
      <c r="K43" s="42" t="n">
        <f aca="false">SUM(K34:K42)</f>
        <v>223082.354333333</v>
      </c>
      <c r="L43" s="42" t="n">
        <f aca="false">SUM(L34:L42)</f>
        <v>223082.354333333</v>
      </c>
      <c r="M43" s="42" t="n">
        <f aca="false">SUM(M34:M42)</f>
        <v>223082.354333333</v>
      </c>
      <c r="N43" s="42" t="n">
        <f aca="false">SUM(B43:M43)</f>
        <v>2619009.89066667</v>
      </c>
    </row>
    <row r="45" customFormat="false" ht="15" hidden="false" customHeight="true" outlineLevel="0" collapsed="false">
      <c r="A45" s="4" t="s">
        <v>67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A46" s="6" t="s">
        <v>226</v>
      </c>
      <c r="B46" s="43" t="n">
        <f aca="false">SUMIF('Headcount Calc'!$B$6:$B$83,$A$45,'Headcount Calc'!K$6:K$83)</f>
        <v>6</v>
      </c>
      <c r="C46" s="43" t="n">
        <f aca="false">SUMIF('Headcount Calc'!$B$6:$B$83,$A$45,'Headcount Calc'!L$6:L$83)</f>
        <v>6</v>
      </c>
      <c r="D46" s="43" t="n">
        <f aca="false">SUMIF('Headcount Calc'!$B$6:$B$83,$A$45,'Headcount Calc'!M$6:M$83)</f>
        <v>6</v>
      </c>
      <c r="E46" s="43" t="n">
        <f aca="false">SUMIF('Headcount Calc'!$B$6:$B$83,$A$45,'Headcount Calc'!N$6:N$83)</f>
        <v>7</v>
      </c>
      <c r="F46" s="43" t="n">
        <f aca="false">SUMIF('Headcount Calc'!$B$6:$B$83,$A$45,'Headcount Calc'!O$6:O$83)</f>
        <v>7</v>
      </c>
      <c r="G46" s="43" t="n">
        <f aca="false">SUMIF('Headcount Calc'!$B$6:$B$83,$A$45,'Headcount Calc'!P$6:P$83)</f>
        <v>7</v>
      </c>
      <c r="H46" s="43" t="n">
        <f aca="false">SUMIF('Headcount Calc'!$B$6:$B$83,$A$45,'Headcount Calc'!Q$6:Q$83)</f>
        <v>7</v>
      </c>
      <c r="I46" s="43" t="n">
        <f aca="false">SUMIF('Headcount Calc'!$B$6:$B$83,$A$45,'Headcount Calc'!R$6:R$83)</f>
        <v>7</v>
      </c>
      <c r="J46" s="43" t="n">
        <f aca="false">SUMIF('Headcount Calc'!$B$6:$B$83,$A$45,'Headcount Calc'!S$6:S$83)</f>
        <v>7</v>
      </c>
      <c r="K46" s="43" t="n">
        <f aca="false">SUMIF('Headcount Calc'!$B$6:$B$83,$A$45,'Headcount Calc'!T$6:T$83)</f>
        <v>7</v>
      </c>
      <c r="L46" s="43" t="n">
        <f aca="false">SUMIF('Headcount Calc'!$B$6:$B$83,$A$45,'Headcount Calc'!U$6:U$83)</f>
        <v>7</v>
      </c>
      <c r="M46" s="43" t="n">
        <f aca="false">SUMIF('Headcount Calc'!$B$6:$B$83,$A$45,'Headcount Calc'!V$6:V$83)</f>
        <v>7</v>
      </c>
      <c r="N46" s="44" t="n">
        <f aca="false">AVERAGE(B46:M46)</f>
        <v>6.75</v>
      </c>
    </row>
    <row r="47" customFormat="false" ht="15" hidden="false" customHeight="true" outlineLevel="0" collapsed="false">
      <c r="A47" s="6" t="s">
        <v>227</v>
      </c>
      <c r="B47" s="40" t="n">
        <f aca="false">SUMIF('Headcount Calc'!$B$6:$B$83,$A$45,'Headcount Calc'!W$6:W$83)</f>
        <v>57166.6666666667</v>
      </c>
      <c r="C47" s="40" t="n">
        <f aca="false">SUMIF('Headcount Calc'!$B$6:$B$83,$A$45,'Headcount Calc'!X$6:X$83)</f>
        <v>57166.6666666667</v>
      </c>
      <c r="D47" s="40" t="n">
        <f aca="false">SUMIF('Headcount Calc'!$B$6:$B$83,$A$45,'Headcount Calc'!Y$6:Y$83)</f>
        <v>57166.6666666667</v>
      </c>
      <c r="E47" s="40" t="n">
        <f aca="false">SUMIF('Headcount Calc'!$B$6:$B$83,$A$45,'Headcount Calc'!Z$6:Z$83)</f>
        <v>66625.8333333333</v>
      </c>
      <c r="F47" s="40" t="n">
        <f aca="false">SUMIF('Headcount Calc'!$B$6:$B$83,$A$45,'Headcount Calc'!AA$6:AA$83)</f>
        <v>66625.8333333333</v>
      </c>
      <c r="G47" s="40" t="n">
        <f aca="false">SUMIF('Headcount Calc'!$B$6:$B$83,$A$45,'Headcount Calc'!AB$6:AB$83)</f>
        <v>66625.8333333333</v>
      </c>
      <c r="H47" s="40" t="n">
        <f aca="false">SUMIF('Headcount Calc'!$B$6:$B$83,$A$45,'Headcount Calc'!AC$6:AC$83)</f>
        <v>66625.8333333333</v>
      </c>
      <c r="I47" s="40" t="n">
        <f aca="false">SUMIF('Headcount Calc'!$B$6:$B$83,$A$45,'Headcount Calc'!AD$6:AD$83)</f>
        <v>66625.8333333333</v>
      </c>
      <c r="J47" s="40" t="n">
        <f aca="false">SUMIF('Headcount Calc'!$B$6:$B$83,$A$45,'Headcount Calc'!AE$6:AE$83)</f>
        <v>66625.8333333333</v>
      </c>
      <c r="K47" s="40" t="n">
        <f aca="false">SUMIF('Headcount Calc'!$B$6:$B$83,$A$45,'Headcount Calc'!AF$6:AF$83)</f>
        <v>66625.8333333333</v>
      </c>
      <c r="L47" s="40" t="n">
        <f aca="false">SUMIF('Headcount Calc'!$B$6:$B$83,$A$45,'Headcount Calc'!AG$6:AG$83)</f>
        <v>66625.8333333333</v>
      </c>
      <c r="M47" s="40" t="n">
        <f aca="false">SUMIF('Headcount Calc'!$B$6:$B$83,$A$45,'Headcount Calc'!AH$6:AH$83)</f>
        <v>66625.8333333333</v>
      </c>
      <c r="N47" s="45" t="n">
        <f aca="false">SUM(B47:M47)</f>
        <v>771132.5</v>
      </c>
    </row>
    <row r="48" customFormat="false" ht="15" hidden="false" customHeight="true" outlineLevel="0" collapsed="false">
      <c r="A48" s="6" t="s">
        <v>228</v>
      </c>
      <c r="B48" s="40" t="n">
        <f aca="false">SUMPRODUCT(('Headcount Calc'!$B$6:$B$83=$A$45)*'Headcount Calc'!W$6:W$83*'Headcount Calc'!$I$6:$I$83)</f>
        <v>7287.5</v>
      </c>
      <c r="C48" s="40" t="n">
        <f aca="false">SUMPRODUCT(('Headcount Calc'!$B$6:$B$83=$A$45)*'Headcount Calc'!X$6:X$83*'Headcount Calc'!$I$6:$I$83)</f>
        <v>7287.5</v>
      </c>
      <c r="D48" s="40" t="n">
        <f aca="false">SUMPRODUCT(('Headcount Calc'!$B$6:$B$83=$A$45)*'Headcount Calc'!Y$6:Y$83*'Headcount Calc'!$I$6:$I$83)</f>
        <v>7287.5</v>
      </c>
      <c r="E48" s="40" t="n">
        <f aca="false">SUMPRODUCT(('Headcount Calc'!$B$6:$B$83=$A$45)*'Headcount Calc'!Z$6:Z$83*'Headcount Calc'!$I$6:$I$83)</f>
        <v>8139.22916666667</v>
      </c>
      <c r="F48" s="40" t="n">
        <f aca="false">SUMPRODUCT(('Headcount Calc'!$B$6:$B$83=$A$45)*'Headcount Calc'!AA$6:AA$83*'Headcount Calc'!$I$6:$I$83)</f>
        <v>8139.22916666667</v>
      </c>
      <c r="G48" s="40" t="n">
        <f aca="false">SUMPRODUCT(('Headcount Calc'!$B$6:$B$83=$A$45)*'Headcount Calc'!AB$6:AB$83*'Headcount Calc'!$I$6:$I$83)</f>
        <v>8139.22916666667</v>
      </c>
      <c r="H48" s="40" t="n">
        <f aca="false">SUMPRODUCT(('Headcount Calc'!$B$6:$B$83=$A$45)*'Headcount Calc'!AC$6:AC$83*'Headcount Calc'!$I$6:$I$83)</f>
        <v>8139.22916666667</v>
      </c>
      <c r="I48" s="40" t="n">
        <f aca="false">SUMPRODUCT(('Headcount Calc'!$B$6:$B$83=$A$45)*'Headcount Calc'!AD$6:AD$83*'Headcount Calc'!$I$6:$I$83)</f>
        <v>8139.22916666667</v>
      </c>
      <c r="J48" s="40" t="n">
        <f aca="false">SUMPRODUCT(('Headcount Calc'!$B$6:$B$83=$A$45)*'Headcount Calc'!AE$6:AE$83*'Headcount Calc'!$I$6:$I$83)</f>
        <v>8139.22916666667</v>
      </c>
      <c r="K48" s="40" t="n">
        <f aca="false">SUMPRODUCT(('Headcount Calc'!$B$6:$B$83=$A$45)*'Headcount Calc'!AF$6:AF$83*'Headcount Calc'!$I$6:$I$83)</f>
        <v>8139.22916666667</v>
      </c>
      <c r="L48" s="40" t="n">
        <f aca="false">SUMPRODUCT(('Headcount Calc'!$B$6:$B$83=$A$45)*'Headcount Calc'!AG$6:AG$83*'Headcount Calc'!$I$6:$I$83)</f>
        <v>8139.22916666667</v>
      </c>
      <c r="M48" s="40" t="n">
        <f aca="false">SUMPRODUCT(('Headcount Calc'!$B$6:$B$83=$A$45)*'Headcount Calc'!AH$6:AH$83*'Headcount Calc'!$I$6:$I$83)</f>
        <v>8139.22916666667</v>
      </c>
      <c r="N48" s="45" t="n">
        <f aca="false">SUM(B48:M48)</f>
        <v>95115.5625</v>
      </c>
    </row>
    <row r="49" customFormat="false" ht="15" hidden="false" customHeight="true" outlineLevel="0" collapsed="false">
      <c r="A49" s="6" t="s">
        <v>229</v>
      </c>
      <c r="B49" s="40" t="n">
        <f aca="false">(B47+B48)*Assumptions!$B$15</f>
        <v>4640.7</v>
      </c>
      <c r="C49" s="40" t="n">
        <f aca="false">(C47+C48)*Assumptions!$B$15</f>
        <v>4640.7</v>
      </c>
      <c r="D49" s="40" t="n">
        <f aca="false">(D47+D48)*Assumptions!$B$15</f>
        <v>4640.7</v>
      </c>
      <c r="E49" s="40" t="n">
        <f aca="false">(E47+E48)*Assumptions!$B$15</f>
        <v>5383.0845</v>
      </c>
      <c r="F49" s="40" t="n">
        <f aca="false">(F47+F48)*Assumptions!$B$15</f>
        <v>5383.0845</v>
      </c>
      <c r="G49" s="40" t="n">
        <f aca="false">(G47+G48)*Assumptions!$B$15</f>
        <v>5383.0845</v>
      </c>
      <c r="H49" s="40" t="n">
        <f aca="false">(H47+H48)*Assumptions!$B$15</f>
        <v>5383.0845</v>
      </c>
      <c r="I49" s="40" t="n">
        <f aca="false">(I47+I48)*Assumptions!$B$15</f>
        <v>5383.0845</v>
      </c>
      <c r="J49" s="40" t="n">
        <f aca="false">(J47+J48)*Assumptions!$B$15</f>
        <v>5383.0845</v>
      </c>
      <c r="K49" s="40" t="n">
        <f aca="false">(K47+K48)*Assumptions!$B$15</f>
        <v>5383.0845</v>
      </c>
      <c r="L49" s="40" t="n">
        <f aca="false">(L47+L48)*Assumptions!$B$15</f>
        <v>5383.0845</v>
      </c>
      <c r="M49" s="40" t="n">
        <f aca="false">(M47+M48)*Assumptions!$B$15</f>
        <v>5383.0845</v>
      </c>
      <c r="N49" s="45" t="n">
        <f aca="false">SUM(B49:M49)</f>
        <v>62369.8605</v>
      </c>
    </row>
    <row r="50" customFormat="false" ht="15" hidden="false" customHeight="true" outlineLevel="0" collapsed="false">
      <c r="A50" s="6" t="s">
        <v>230</v>
      </c>
      <c r="B50" s="40" t="n">
        <f aca="false">B46*Assumptions!$B$16</f>
        <v>6900</v>
      </c>
      <c r="C50" s="40" t="n">
        <f aca="false">C46*Assumptions!$B$16</f>
        <v>6900</v>
      </c>
      <c r="D50" s="40" t="n">
        <f aca="false">D46*Assumptions!$B$16</f>
        <v>6900</v>
      </c>
      <c r="E50" s="40" t="n">
        <f aca="false">E46*Assumptions!$B$16</f>
        <v>8050</v>
      </c>
      <c r="F50" s="40" t="n">
        <f aca="false">F46*Assumptions!$B$16</f>
        <v>8050</v>
      </c>
      <c r="G50" s="40" t="n">
        <f aca="false">G46*Assumptions!$B$16</f>
        <v>8050</v>
      </c>
      <c r="H50" s="40" t="n">
        <f aca="false">H46*Assumptions!$B$16</f>
        <v>8050</v>
      </c>
      <c r="I50" s="40" t="n">
        <f aca="false">I46*Assumptions!$B$16</f>
        <v>8050</v>
      </c>
      <c r="J50" s="40" t="n">
        <f aca="false">J46*Assumptions!$B$16</f>
        <v>8050</v>
      </c>
      <c r="K50" s="40" t="n">
        <f aca="false">K46*Assumptions!$B$16</f>
        <v>8050</v>
      </c>
      <c r="L50" s="40" t="n">
        <f aca="false">L46*Assumptions!$B$16</f>
        <v>8050</v>
      </c>
      <c r="M50" s="40" t="n">
        <f aca="false">M46*Assumptions!$B$16</f>
        <v>8050</v>
      </c>
      <c r="N50" s="45" t="n">
        <f aca="false">SUM(B50:M50)</f>
        <v>93150</v>
      </c>
    </row>
    <row r="51" customFormat="false" ht="15" hidden="false" customHeight="true" outlineLevel="0" collapsed="false">
      <c r="A51" s="6" t="s">
        <v>231</v>
      </c>
      <c r="B51" s="40" t="n">
        <f aca="false">SUMPRODUCT(('Headcount Calc'!$B$6:$B$83=$A$45)*('Headcount Calc'!$C$6:$C$83="Open role")*('Headcount Calc'!$H$6:$H$83=1)*('Headcount Calc'!$F$6:$F$83&gt;=B$4)*('Headcount Calc'!$F$6:$F$83&lt;=EOMONTH(B$4,0))*'Headcount Calc'!$E$6:$E$83)*Assumptions!$B$19+SUMPRODUCT(('Headcount Calc'!$B$6:$B$83=$A$45)*('Headcount Calc'!$C$6:$C$83="Open role")*('Headcount Calc'!$H$6:$H$83=1)*('Headcount Calc'!$F$6:$F$83&gt;=B$4)*('Headcount Calc'!$F$6:$F$83&lt;=EOMONTH(B$4,0)))*Assumptions!$B$20</f>
        <v>0</v>
      </c>
      <c r="C51" s="40" t="n">
        <f aca="false">SUMPRODUCT(('Headcount Calc'!$B$6:$B$83=$A$45)*('Headcount Calc'!$C$6:$C$83="Open role")*('Headcount Calc'!$H$6:$H$83=1)*('Headcount Calc'!$F$6:$F$83&gt;=C$4)*('Headcount Calc'!$F$6:$F$83&lt;=EOMONTH(C$4,0))*'Headcount Calc'!$E$6:$E$83)*Assumptions!$B$19+SUMPRODUCT(('Headcount Calc'!$B$6:$B$83=$A$45)*('Headcount Calc'!$C$6:$C$83="Open role")*('Headcount Calc'!$H$6:$H$83=1)*('Headcount Calc'!$F$6:$F$83&gt;=C$4)*('Headcount Calc'!$F$6:$F$83&lt;=EOMONTH(C$4,0)))*Assumptions!$B$20</f>
        <v>0</v>
      </c>
      <c r="D51" s="40" t="n">
        <f aca="false">SUMPRODUCT(('Headcount Calc'!$B$6:$B$83=$A$45)*('Headcount Calc'!$C$6:$C$83="Open role")*('Headcount Calc'!$H$6:$H$83=1)*('Headcount Calc'!$F$6:$F$83&gt;=D$4)*('Headcount Calc'!$F$6:$F$83&lt;=EOMONTH(D$4,0))*'Headcount Calc'!$E$6:$E$83)*Assumptions!$B$19+SUMPRODUCT(('Headcount Calc'!$B$6:$B$83=$A$45)*('Headcount Calc'!$C$6:$C$83="Open role")*('Headcount Calc'!$H$6:$H$83=1)*('Headcount Calc'!$F$6:$F$83&gt;=D$4)*('Headcount Calc'!$F$6:$F$83&lt;=EOMONTH(D$4,0)))*Assumptions!$B$20</f>
        <v>0</v>
      </c>
      <c r="E51" s="40" t="n">
        <f aca="false">SUMPRODUCT(('Headcount Calc'!$B$6:$B$83=$A$45)*('Headcount Calc'!$C$6:$C$83="Open role")*('Headcount Calc'!$H$6:$H$83=1)*('Headcount Calc'!$F$6:$F$83&gt;=E$4)*('Headcount Calc'!$F$6:$F$83&lt;=EOMONTH(E$4,0))*'Headcount Calc'!$E$6:$E$83)*Assumptions!$B$19+SUMPRODUCT(('Headcount Calc'!$B$6:$B$83=$A$45)*('Headcount Calc'!$C$6:$C$83="Open role")*('Headcount Calc'!$H$6:$H$83=1)*('Headcount Calc'!$F$6:$F$83&gt;=E$4)*('Headcount Calc'!$F$6:$F$83&lt;=EOMONTH(E$4,0)))*Assumptions!$B$20</f>
        <v>16425</v>
      </c>
      <c r="F51" s="40" t="n">
        <f aca="false">SUMPRODUCT(('Headcount Calc'!$B$6:$B$83=$A$45)*('Headcount Calc'!$C$6:$C$83="Open role")*('Headcount Calc'!$H$6:$H$83=1)*('Headcount Calc'!$F$6:$F$83&gt;=F$4)*('Headcount Calc'!$F$6:$F$83&lt;=EOMONTH(F$4,0))*'Headcount Calc'!$E$6:$E$83)*Assumptions!$B$19+SUMPRODUCT(('Headcount Calc'!$B$6:$B$83=$A$45)*('Headcount Calc'!$C$6:$C$83="Open role")*('Headcount Calc'!$H$6:$H$83=1)*('Headcount Calc'!$F$6:$F$83&gt;=F$4)*('Headcount Calc'!$F$6:$F$83&lt;=EOMONTH(F$4,0)))*Assumptions!$B$20</f>
        <v>0</v>
      </c>
      <c r="G51" s="40" t="n">
        <f aca="false">SUMPRODUCT(('Headcount Calc'!$B$6:$B$83=$A$45)*('Headcount Calc'!$C$6:$C$83="Open role")*('Headcount Calc'!$H$6:$H$83=1)*('Headcount Calc'!$F$6:$F$83&gt;=G$4)*('Headcount Calc'!$F$6:$F$83&lt;=EOMONTH(G$4,0))*'Headcount Calc'!$E$6:$E$83)*Assumptions!$B$19+SUMPRODUCT(('Headcount Calc'!$B$6:$B$83=$A$45)*('Headcount Calc'!$C$6:$C$83="Open role")*('Headcount Calc'!$H$6:$H$83=1)*('Headcount Calc'!$F$6:$F$83&gt;=G$4)*('Headcount Calc'!$F$6:$F$83&lt;=EOMONTH(G$4,0)))*Assumptions!$B$20</f>
        <v>0</v>
      </c>
      <c r="H51" s="40" t="n">
        <f aca="false">SUMPRODUCT(('Headcount Calc'!$B$6:$B$83=$A$45)*('Headcount Calc'!$C$6:$C$83="Open role")*('Headcount Calc'!$H$6:$H$83=1)*('Headcount Calc'!$F$6:$F$83&gt;=H$4)*('Headcount Calc'!$F$6:$F$83&lt;=EOMONTH(H$4,0))*'Headcount Calc'!$E$6:$E$83)*Assumptions!$B$19+SUMPRODUCT(('Headcount Calc'!$B$6:$B$83=$A$45)*('Headcount Calc'!$C$6:$C$83="Open role")*('Headcount Calc'!$H$6:$H$83=1)*('Headcount Calc'!$F$6:$F$83&gt;=H$4)*('Headcount Calc'!$F$6:$F$83&lt;=EOMONTH(H$4,0)))*Assumptions!$B$20</f>
        <v>0</v>
      </c>
      <c r="I51" s="40" t="n">
        <f aca="false">SUMPRODUCT(('Headcount Calc'!$B$6:$B$83=$A$45)*('Headcount Calc'!$C$6:$C$83="Open role")*('Headcount Calc'!$H$6:$H$83=1)*('Headcount Calc'!$F$6:$F$83&gt;=I$4)*('Headcount Calc'!$F$6:$F$83&lt;=EOMONTH(I$4,0))*'Headcount Calc'!$E$6:$E$83)*Assumptions!$B$19+SUMPRODUCT(('Headcount Calc'!$B$6:$B$83=$A$45)*('Headcount Calc'!$C$6:$C$83="Open role")*('Headcount Calc'!$H$6:$H$83=1)*('Headcount Calc'!$F$6:$F$83&gt;=I$4)*('Headcount Calc'!$F$6:$F$83&lt;=EOMONTH(I$4,0)))*Assumptions!$B$20</f>
        <v>0</v>
      </c>
      <c r="J51" s="40" t="n">
        <f aca="false">SUMPRODUCT(('Headcount Calc'!$B$6:$B$83=$A$45)*('Headcount Calc'!$C$6:$C$83="Open role")*('Headcount Calc'!$H$6:$H$83=1)*('Headcount Calc'!$F$6:$F$83&gt;=J$4)*('Headcount Calc'!$F$6:$F$83&lt;=EOMONTH(J$4,0))*'Headcount Calc'!$E$6:$E$83)*Assumptions!$B$19+SUMPRODUCT(('Headcount Calc'!$B$6:$B$83=$A$45)*('Headcount Calc'!$C$6:$C$83="Open role")*('Headcount Calc'!$H$6:$H$83=1)*('Headcount Calc'!$F$6:$F$83&gt;=J$4)*('Headcount Calc'!$F$6:$F$83&lt;=EOMONTH(J$4,0)))*Assumptions!$B$20</f>
        <v>0</v>
      </c>
      <c r="K51" s="40" t="n">
        <f aca="false">SUMPRODUCT(('Headcount Calc'!$B$6:$B$83=$A$45)*('Headcount Calc'!$C$6:$C$83="Open role")*('Headcount Calc'!$H$6:$H$83=1)*('Headcount Calc'!$F$6:$F$83&gt;=K$4)*('Headcount Calc'!$F$6:$F$83&lt;=EOMONTH(K$4,0))*'Headcount Calc'!$E$6:$E$83)*Assumptions!$B$19+SUMPRODUCT(('Headcount Calc'!$B$6:$B$83=$A$45)*('Headcount Calc'!$C$6:$C$83="Open role")*('Headcount Calc'!$H$6:$H$83=1)*('Headcount Calc'!$F$6:$F$83&gt;=K$4)*('Headcount Calc'!$F$6:$F$83&lt;=EOMONTH(K$4,0)))*Assumptions!$B$20</f>
        <v>0</v>
      </c>
      <c r="L51" s="40" t="n">
        <f aca="false">SUMPRODUCT(('Headcount Calc'!$B$6:$B$83=$A$45)*('Headcount Calc'!$C$6:$C$83="Open role")*('Headcount Calc'!$H$6:$H$83=1)*('Headcount Calc'!$F$6:$F$83&gt;=L$4)*('Headcount Calc'!$F$6:$F$83&lt;=EOMONTH(L$4,0))*'Headcount Calc'!$E$6:$E$83)*Assumptions!$B$19+SUMPRODUCT(('Headcount Calc'!$B$6:$B$83=$A$45)*('Headcount Calc'!$C$6:$C$83="Open role")*('Headcount Calc'!$H$6:$H$83=1)*('Headcount Calc'!$F$6:$F$83&gt;=L$4)*('Headcount Calc'!$F$6:$F$83&lt;=EOMONTH(L$4,0)))*Assumptions!$B$20</f>
        <v>0</v>
      </c>
      <c r="M51" s="40" t="n">
        <f aca="false">SUMPRODUCT(('Headcount Calc'!$B$6:$B$83=$A$45)*('Headcount Calc'!$C$6:$C$83="Open role")*('Headcount Calc'!$H$6:$H$83=1)*('Headcount Calc'!$F$6:$F$83&gt;=M$4)*('Headcount Calc'!$F$6:$F$83&lt;=EOMONTH(M$4,0))*'Headcount Calc'!$E$6:$E$83)*Assumptions!$B$19+SUMPRODUCT(('Headcount Calc'!$B$6:$B$83=$A$45)*('Headcount Calc'!$C$6:$C$83="Open role")*('Headcount Calc'!$H$6:$H$83=1)*('Headcount Calc'!$F$6:$F$83&gt;=M$4)*('Headcount Calc'!$F$6:$F$83&lt;=EOMONTH(M$4,0)))*Assumptions!$B$20</f>
        <v>0</v>
      </c>
      <c r="N51" s="45" t="n">
        <f aca="false">SUM(B51:M51)</f>
        <v>16425</v>
      </c>
    </row>
    <row r="52" customFormat="false" ht="15" hidden="false" customHeight="true" outlineLevel="0" collapsed="false">
      <c r="A52" s="6" t="s">
        <v>232</v>
      </c>
      <c r="B52" s="40" t="n">
        <f aca="false">B46*Assumptions!$B$21</f>
        <v>1500</v>
      </c>
      <c r="C52" s="40" t="n">
        <f aca="false">C46*Assumptions!$B$21</f>
        <v>1500</v>
      </c>
      <c r="D52" s="40" t="n">
        <f aca="false">D46*Assumptions!$B$21</f>
        <v>1500</v>
      </c>
      <c r="E52" s="40" t="n">
        <f aca="false">E46*Assumptions!$B$21</f>
        <v>1750</v>
      </c>
      <c r="F52" s="40" t="n">
        <f aca="false">F46*Assumptions!$B$21</f>
        <v>1750</v>
      </c>
      <c r="G52" s="40" t="n">
        <f aca="false">G46*Assumptions!$B$21</f>
        <v>1750</v>
      </c>
      <c r="H52" s="40" t="n">
        <f aca="false">H46*Assumptions!$B$21</f>
        <v>1750</v>
      </c>
      <c r="I52" s="40" t="n">
        <f aca="false">I46*Assumptions!$B$21</f>
        <v>1750</v>
      </c>
      <c r="J52" s="40" t="n">
        <f aca="false">J46*Assumptions!$B$21</f>
        <v>1750</v>
      </c>
      <c r="K52" s="40" t="n">
        <f aca="false">K46*Assumptions!$B$21</f>
        <v>1750</v>
      </c>
      <c r="L52" s="40" t="n">
        <f aca="false">L46*Assumptions!$B$21</f>
        <v>1750</v>
      </c>
      <c r="M52" s="40" t="n">
        <f aca="false">M46*Assumptions!$B$21</f>
        <v>1750</v>
      </c>
      <c r="N52" s="45" t="n">
        <f aca="false">SUM(B52:M52)</f>
        <v>20250</v>
      </c>
    </row>
    <row r="53" customFormat="false" ht="15" hidden="false" customHeight="true" outlineLevel="0" collapsed="false">
      <c r="A53" s="6" t="s">
        <v>233</v>
      </c>
      <c r="B53" s="40" t="n">
        <f aca="false">B46*VLOOKUP($A$45,Assumptions!$A$35:$C$40,2,FALSE())</f>
        <v>2400</v>
      </c>
      <c r="C53" s="40" t="n">
        <f aca="false">C46*VLOOKUP($A$45,Assumptions!$A$35:$C$40,2,FALSE())</f>
        <v>2400</v>
      </c>
      <c r="D53" s="40" t="n">
        <f aca="false">D46*VLOOKUP($A$45,Assumptions!$A$35:$C$40,2,FALSE())</f>
        <v>2400</v>
      </c>
      <c r="E53" s="40" t="n">
        <f aca="false">E46*VLOOKUP($A$45,Assumptions!$A$35:$C$40,2,FALSE())</f>
        <v>2800</v>
      </c>
      <c r="F53" s="40" t="n">
        <f aca="false">F46*VLOOKUP($A$45,Assumptions!$A$35:$C$40,2,FALSE())</f>
        <v>2800</v>
      </c>
      <c r="G53" s="40" t="n">
        <f aca="false">G46*VLOOKUP($A$45,Assumptions!$A$35:$C$40,2,FALSE())</f>
        <v>2800</v>
      </c>
      <c r="H53" s="40" t="n">
        <f aca="false">H46*VLOOKUP($A$45,Assumptions!$A$35:$C$40,2,FALSE())</f>
        <v>2800</v>
      </c>
      <c r="I53" s="40" t="n">
        <f aca="false">I46*VLOOKUP($A$45,Assumptions!$A$35:$C$40,2,FALSE())</f>
        <v>2800</v>
      </c>
      <c r="J53" s="40" t="n">
        <f aca="false">J46*VLOOKUP($A$45,Assumptions!$A$35:$C$40,2,FALSE())</f>
        <v>2800</v>
      </c>
      <c r="K53" s="40" t="n">
        <f aca="false">K46*VLOOKUP($A$45,Assumptions!$A$35:$C$40,2,FALSE())</f>
        <v>2800</v>
      </c>
      <c r="L53" s="40" t="n">
        <f aca="false">L46*VLOOKUP($A$45,Assumptions!$A$35:$C$40,2,FALSE())</f>
        <v>2800</v>
      </c>
      <c r="M53" s="40" t="n">
        <f aca="false">M46*VLOOKUP($A$45,Assumptions!$A$35:$C$40,2,FALSE())</f>
        <v>2800</v>
      </c>
      <c r="N53" s="45" t="n">
        <f aca="false">SUM(B53:M53)</f>
        <v>32400</v>
      </c>
    </row>
    <row r="54" customFormat="false" ht="15" hidden="false" customHeight="true" outlineLevel="0" collapsed="false">
      <c r="A54" s="6" t="s">
        <v>234</v>
      </c>
      <c r="B54" s="40" t="n">
        <f aca="false">B46*Assumptions!$B$22</f>
        <v>3600</v>
      </c>
      <c r="C54" s="40" t="n">
        <f aca="false">C46*Assumptions!$B$22</f>
        <v>3600</v>
      </c>
      <c r="D54" s="40" t="n">
        <f aca="false">D46*Assumptions!$B$22</f>
        <v>3600</v>
      </c>
      <c r="E54" s="40" t="n">
        <f aca="false">E46*Assumptions!$B$22</f>
        <v>4200</v>
      </c>
      <c r="F54" s="40" t="n">
        <f aca="false">F46*Assumptions!$B$22</f>
        <v>4200</v>
      </c>
      <c r="G54" s="40" t="n">
        <f aca="false">G46*Assumptions!$B$22</f>
        <v>4200</v>
      </c>
      <c r="H54" s="40" t="n">
        <f aca="false">H46*Assumptions!$B$22</f>
        <v>4200</v>
      </c>
      <c r="I54" s="40" t="n">
        <f aca="false">I46*Assumptions!$B$22</f>
        <v>4200</v>
      </c>
      <c r="J54" s="40" t="n">
        <f aca="false">J46*Assumptions!$B$22</f>
        <v>4200</v>
      </c>
      <c r="K54" s="40" t="n">
        <f aca="false">K46*Assumptions!$B$22</f>
        <v>4200</v>
      </c>
      <c r="L54" s="40" t="n">
        <f aca="false">L46*Assumptions!$B$22</f>
        <v>4200</v>
      </c>
      <c r="M54" s="40" t="n">
        <f aca="false">M46*Assumptions!$B$22</f>
        <v>4200</v>
      </c>
      <c r="N54" s="45" t="n">
        <f aca="false">SUM(B54:M54)</f>
        <v>48600</v>
      </c>
    </row>
    <row r="55" customFormat="false" ht="15" hidden="false" customHeight="true" outlineLevel="0" collapsed="false">
      <c r="A55" s="6" t="s">
        <v>235</v>
      </c>
      <c r="B55" s="40" t="n">
        <f aca="false">VLOOKUP($A$45,Assumptions!$A$35:$C$40,3,FALSE())/12*(1+Assumptions!$F$11)</f>
        <v>116666.666666667</v>
      </c>
      <c r="C55" s="40" t="n">
        <f aca="false">VLOOKUP($A$45,Assumptions!$A$35:$C$40,3,FALSE())/12*(1+Assumptions!$F$11)</f>
        <v>116666.666666667</v>
      </c>
      <c r="D55" s="40" t="n">
        <f aca="false">VLOOKUP($A$45,Assumptions!$A$35:$C$40,3,FALSE())/12*(1+Assumptions!$F$11)</f>
        <v>116666.666666667</v>
      </c>
      <c r="E55" s="40" t="n">
        <f aca="false">VLOOKUP($A$45,Assumptions!$A$35:$C$40,3,FALSE())/12*(1+Assumptions!$F$11)</f>
        <v>116666.666666667</v>
      </c>
      <c r="F55" s="40" t="n">
        <f aca="false">VLOOKUP($A$45,Assumptions!$A$35:$C$40,3,FALSE())/12*(1+Assumptions!$F$11)</f>
        <v>116666.666666667</v>
      </c>
      <c r="G55" s="40" t="n">
        <f aca="false">VLOOKUP($A$45,Assumptions!$A$35:$C$40,3,FALSE())/12*(1+Assumptions!$F$11)</f>
        <v>116666.666666667</v>
      </c>
      <c r="H55" s="40" t="n">
        <f aca="false">VLOOKUP($A$45,Assumptions!$A$35:$C$40,3,FALSE())/12*(1+Assumptions!$F$11)</f>
        <v>116666.666666667</v>
      </c>
      <c r="I55" s="40" t="n">
        <f aca="false">VLOOKUP($A$45,Assumptions!$A$35:$C$40,3,FALSE())/12*(1+Assumptions!$F$11)</f>
        <v>116666.666666667</v>
      </c>
      <c r="J55" s="40" t="n">
        <f aca="false">VLOOKUP($A$45,Assumptions!$A$35:$C$40,3,FALSE())/12*(1+Assumptions!$F$11)</f>
        <v>116666.666666667</v>
      </c>
      <c r="K55" s="40" t="n">
        <f aca="false">VLOOKUP($A$45,Assumptions!$A$35:$C$40,3,FALSE())/12*(1+Assumptions!$F$11)</f>
        <v>116666.666666667</v>
      </c>
      <c r="L55" s="40" t="n">
        <f aca="false">VLOOKUP($A$45,Assumptions!$A$35:$C$40,3,FALSE())/12*(1+Assumptions!$F$11)</f>
        <v>116666.666666667</v>
      </c>
      <c r="M55" s="40" t="n">
        <f aca="false">VLOOKUP($A$45,Assumptions!$A$35:$C$40,3,FALSE())/12*(1+Assumptions!$F$11)</f>
        <v>116666.666666667</v>
      </c>
      <c r="N55" s="45" t="n">
        <f aca="false">SUM(B55:M55)</f>
        <v>1400000</v>
      </c>
    </row>
    <row r="56" customFormat="false" ht="15" hidden="false" customHeight="true" outlineLevel="0" collapsed="false">
      <c r="A56" s="16" t="s">
        <v>236</v>
      </c>
      <c r="B56" s="42" t="n">
        <f aca="false">SUM(B47:B55)</f>
        <v>200161.533333333</v>
      </c>
      <c r="C56" s="42" t="n">
        <f aca="false">SUM(C47:C55)</f>
        <v>200161.533333333</v>
      </c>
      <c r="D56" s="42" t="n">
        <f aca="false">SUM(D47:D55)</f>
        <v>200161.533333333</v>
      </c>
      <c r="E56" s="42" t="n">
        <f aca="false">SUM(E47:E55)</f>
        <v>230039.813666667</v>
      </c>
      <c r="F56" s="42" t="n">
        <f aca="false">SUM(F47:F55)</f>
        <v>213614.813666667</v>
      </c>
      <c r="G56" s="42" t="n">
        <f aca="false">SUM(G47:G55)</f>
        <v>213614.813666667</v>
      </c>
      <c r="H56" s="42" t="n">
        <f aca="false">SUM(H47:H55)</f>
        <v>213614.813666667</v>
      </c>
      <c r="I56" s="42" t="n">
        <f aca="false">SUM(I47:I55)</f>
        <v>213614.813666667</v>
      </c>
      <c r="J56" s="42" t="n">
        <f aca="false">SUM(J47:J55)</f>
        <v>213614.813666667</v>
      </c>
      <c r="K56" s="42" t="n">
        <f aca="false">SUM(K47:K55)</f>
        <v>213614.813666667</v>
      </c>
      <c r="L56" s="42" t="n">
        <f aca="false">SUM(L47:L55)</f>
        <v>213614.813666667</v>
      </c>
      <c r="M56" s="42" t="n">
        <f aca="false">SUM(M47:M55)</f>
        <v>213614.813666667</v>
      </c>
      <c r="N56" s="42" t="n">
        <f aca="false">SUM(B56:M56)</f>
        <v>2539442.923</v>
      </c>
    </row>
    <row r="58" customFormat="false" ht="15" hidden="false" customHeight="true" outlineLevel="0" collapsed="false">
      <c r="A58" s="4" t="s">
        <v>69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A59" s="6" t="s">
        <v>226</v>
      </c>
      <c r="B59" s="43" t="n">
        <f aca="false">SUMIF('Headcount Calc'!$B$6:$B$83,$A$58,'Headcount Calc'!K$6:K$83)</f>
        <v>9</v>
      </c>
      <c r="C59" s="43" t="n">
        <f aca="false">SUMIF('Headcount Calc'!$B$6:$B$83,$A$58,'Headcount Calc'!L$6:L$83)</f>
        <v>9</v>
      </c>
      <c r="D59" s="43" t="n">
        <f aca="false">SUMIF('Headcount Calc'!$B$6:$B$83,$A$58,'Headcount Calc'!M$6:M$83)</f>
        <v>9</v>
      </c>
      <c r="E59" s="43" t="n">
        <f aca="false">SUMIF('Headcount Calc'!$B$6:$B$83,$A$58,'Headcount Calc'!N$6:N$83)</f>
        <v>9</v>
      </c>
      <c r="F59" s="43" t="n">
        <f aca="false">SUMIF('Headcount Calc'!$B$6:$B$83,$A$58,'Headcount Calc'!O$6:O$83)</f>
        <v>10</v>
      </c>
      <c r="G59" s="43" t="n">
        <f aca="false">SUMIF('Headcount Calc'!$B$6:$B$83,$A$58,'Headcount Calc'!P$6:P$83)</f>
        <v>10</v>
      </c>
      <c r="H59" s="43" t="n">
        <f aca="false">SUMIF('Headcount Calc'!$B$6:$B$83,$A$58,'Headcount Calc'!Q$6:Q$83)</f>
        <v>10</v>
      </c>
      <c r="I59" s="43" t="n">
        <f aca="false">SUMIF('Headcount Calc'!$B$6:$B$83,$A$58,'Headcount Calc'!R$6:R$83)</f>
        <v>10</v>
      </c>
      <c r="J59" s="43" t="n">
        <f aca="false">SUMIF('Headcount Calc'!$B$6:$B$83,$A$58,'Headcount Calc'!S$6:S$83)</f>
        <v>10</v>
      </c>
      <c r="K59" s="43" t="n">
        <f aca="false">SUMIF('Headcount Calc'!$B$6:$B$83,$A$58,'Headcount Calc'!T$6:T$83)</f>
        <v>10</v>
      </c>
      <c r="L59" s="43" t="n">
        <f aca="false">SUMIF('Headcount Calc'!$B$6:$B$83,$A$58,'Headcount Calc'!U$6:U$83)</f>
        <v>10</v>
      </c>
      <c r="M59" s="43" t="n">
        <f aca="false">SUMIF('Headcount Calc'!$B$6:$B$83,$A$58,'Headcount Calc'!V$6:V$83)</f>
        <v>10</v>
      </c>
      <c r="N59" s="44" t="n">
        <f aca="false">AVERAGE(B59:M59)</f>
        <v>9.66666666666667</v>
      </c>
    </row>
    <row r="60" customFormat="false" ht="15" hidden="false" customHeight="true" outlineLevel="0" collapsed="false">
      <c r="A60" s="6" t="s">
        <v>227</v>
      </c>
      <c r="B60" s="40" t="n">
        <f aca="false">SUMIF('Headcount Calc'!$B$6:$B$83,$A$58,'Headcount Calc'!W$6:W$83)</f>
        <v>61500</v>
      </c>
      <c r="C60" s="40" t="n">
        <f aca="false">SUMIF('Headcount Calc'!$B$6:$B$83,$A$58,'Headcount Calc'!X$6:X$83)</f>
        <v>61500</v>
      </c>
      <c r="D60" s="40" t="n">
        <f aca="false">SUMIF('Headcount Calc'!$B$6:$B$83,$A$58,'Headcount Calc'!Y$6:Y$83)</f>
        <v>61500</v>
      </c>
      <c r="E60" s="40" t="n">
        <f aca="false">SUMIF('Headcount Calc'!$B$6:$B$83,$A$58,'Headcount Calc'!Z$6:Z$83)</f>
        <v>63652.5</v>
      </c>
      <c r="F60" s="40" t="n">
        <f aca="false">SUMIF('Headcount Calc'!$B$6:$B$83,$A$58,'Headcount Calc'!AA$6:AA$83)</f>
        <v>70319.1666666667</v>
      </c>
      <c r="G60" s="40" t="n">
        <f aca="false">SUMIF('Headcount Calc'!$B$6:$B$83,$A$58,'Headcount Calc'!AB$6:AB$83)</f>
        <v>70319.1666666667</v>
      </c>
      <c r="H60" s="40" t="n">
        <f aca="false">SUMIF('Headcount Calc'!$B$6:$B$83,$A$58,'Headcount Calc'!AC$6:AC$83)</f>
        <v>70319.1666666667</v>
      </c>
      <c r="I60" s="40" t="n">
        <f aca="false">SUMIF('Headcount Calc'!$B$6:$B$83,$A$58,'Headcount Calc'!AD$6:AD$83)</f>
        <v>70319.1666666667</v>
      </c>
      <c r="J60" s="40" t="n">
        <f aca="false">SUMIF('Headcount Calc'!$B$6:$B$83,$A$58,'Headcount Calc'!AE$6:AE$83)</f>
        <v>70351.0416666667</v>
      </c>
      <c r="K60" s="40" t="n">
        <f aca="false">SUMIF('Headcount Calc'!$B$6:$B$83,$A$58,'Headcount Calc'!AF$6:AF$83)</f>
        <v>70351.0416666667</v>
      </c>
      <c r="L60" s="40" t="n">
        <f aca="false">SUMIF('Headcount Calc'!$B$6:$B$83,$A$58,'Headcount Calc'!AG$6:AG$83)</f>
        <v>70351.0416666667</v>
      </c>
      <c r="M60" s="40" t="n">
        <f aca="false">SUMIF('Headcount Calc'!$B$6:$B$83,$A$58,'Headcount Calc'!AH$6:AH$83)</f>
        <v>70351.0416666667</v>
      </c>
      <c r="N60" s="45" t="n">
        <f aca="false">SUM(B60:M60)</f>
        <v>810833.333333333</v>
      </c>
    </row>
    <row r="61" customFormat="false" ht="15" hidden="false" customHeight="true" outlineLevel="0" collapsed="false">
      <c r="A61" s="6" t="s">
        <v>228</v>
      </c>
      <c r="B61" s="40" t="n">
        <f aca="false">SUMPRODUCT(('Headcount Calc'!$B$6:$B$83=$A$58)*'Headcount Calc'!W$6:W$83*'Headcount Calc'!$I$6:$I$83)</f>
        <v>5303.33333333333</v>
      </c>
      <c r="C61" s="40" t="n">
        <f aca="false">SUMPRODUCT(('Headcount Calc'!$B$6:$B$83=$A$58)*'Headcount Calc'!X$6:X$83*'Headcount Calc'!$I$6:$I$83)</f>
        <v>5303.33333333333</v>
      </c>
      <c r="D61" s="40" t="n">
        <f aca="false">SUMPRODUCT(('Headcount Calc'!$B$6:$B$83=$A$58)*'Headcount Calc'!Y$6:Y$83*'Headcount Calc'!$I$6:$I$83)</f>
        <v>5303.33333333333</v>
      </c>
      <c r="E61" s="40" t="n">
        <f aca="false">SUMPRODUCT(('Headcount Calc'!$B$6:$B$83=$A$58)*'Headcount Calc'!Z$6:Z$83*'Headcount Calc'!$I$6:$I$83)</f>
        <v>5488.95</v>
      </c>
      <c r="F61" s="40" t="n">
        <f aca="false">SUMPRODUCT(('Headcount Calc'!$B$6:$B$83=$A$58)*'Headcount Calc'!AA$6:AA$83*'Headcount Calc'!$I$6:$I$83)</f>
        <v>6022.28333333333</v>
      </c>
      <c r="G61" s="40" t="n">
        <f aca="false">SUMPRODUCT(('Headcount Calc'!$B$6:$B$83=$A$58)*'Headcount Calc'!AB$6:AB$83*'Headcount Calc'!$I$6:$I$83)</f>
        <v>6022.28333333333</v>
      </c>
      <c r="H61" s="40" t="n">
        <f aca="false">SUMPRODUCT(('Headcount Calc'!$B$6:$B$83=$A$58)*'Headcount Calc'!AC$6:AC$83*'Headcount Calc'!$I$6:$I$83)</f>
        <v>6022.28333333333</v>
      </c>
      <c r="I61" s="40" t="n">
        <f aca="false">SUMPRODUCT(('Headcount Calc'!$B$6:$B$83=$A$58)*'Headcount Calc'!AD$6:AD$83*'Headcount Calc'!$I$6:$I$83)</f>
        <v>6022.28333333333</v>
      </c>
      <c r="J61" s="40" t="n">
        <f aca="false">SUMPRODUCT(('Headcount Calc'!$B$6:$B$83=$A$58)*'Headcount Calc'!AE$6:AE$83*'Headcount Calc'!$I$6:$I$83)</f>
        <v>6023.87708333333</v>
      </c>
      <c r="K61" s="40" t="n">
        <f aca="false">SUMPRODUCT(('Headcount Calc'!$B$6:$B$83=$A$58)*'Headcount Calc'!AF$6:AF$83*'Headcount Calc'!$I$6:$I$83)</f>
        <v>6023.87708333333</v>
      </c>
      <c r="L61" s="40" t="n">
        <f aca="false">SUMPRODUCT(('Headcount Calc'!$B$6:$B$83=$A$58)*'Headcount Calc'!AG$6:AG$83*'Headcount Calc'!$I$6:$I$83)</f>
        <v>6023.87708333333</v>
      </c>
      <c r="M61" s="40" t="n">
        <f aca="false">SUMPRODUCT(('Headcount Calc'!$B$6:$B$83=$A$58)*'Headcount Calc'!AH$6:AH$83*'Headcount Calc'!$I$6:$I$83)</f>
        <v>6023.87708333333</v>
      </c>
      <c r="N61" s="45" t="n">
        <f aca="false">SUM(B61:M61)</f>
        <v>69583.5916666667</v>
      </c>
    </row>
    <row r="62" customFormat="false" ht="15" hidden="false" customHeight="true" outlineLevel="0" collapsed="false">
      <c r="A62" s="6" t="s">
        <v>229</v>
      </c>
      <c r="B62" s="40" t="n">
        <f aca="false">(B60+B61)*Assumptions!$B$15</f>
        <v>4809.84</v>
      </c>
      <c r="C62" s="40" t="n">
        <f aca="false">(C60+C61)*Assumptions!$B$15</f>
        <v>4809.84</v>
      </c>
      <c r="D62" s="40" t="n">
        <f aca="false">(D60+D61)*Assumptions!$B$15</f>
        <v>4809.84</v>
      </c>
      <c r="E62" s="40" t="n">
        <f aca="false">(E60+E61)*Assumptions!$B$15</f>
        <v>4978.1844</v>
      </c>
      <c r="F62" s="40" t="n">
        <f aca="false">(F60+F61)*Assumptions!$B$15</f>
        <v>5496.5844</v>
      </c>
      <c r="G62" s="40" t="n">
        <f aca="false">(G60+G61)*Assumptions!$B$15</f>
        <v>5496.5844</v>
      </c>
      <c r="H62" s="40" t="n">
        <f aca="false">(H60+H61)*Assumptions!$B$15</f>
        <v>5496.5844</v>
      </c>
      <c r="I62" s="40" t="n">
        <f aca="false">(I60+I61)*Assumptions!$B$15</f>
        <v>5496.5844</v>
      </c>
      <c r="J62" s="40" t="n">
        <f aca="false">(J60+J61)*Assumptions!$B$15</f>
        <v>5498.99415</v>
      </c>
      <c r="K62" s="40" t="n">
        <f aca="false">(K60+K61)*Assumptions!$B$15</f>
        <v>5498.99415</v>
      </c>
      <c r="L62" s="40" t="n">
        <f aca="false">(L60+L61)*Assumptions!$B$15</f>
        <v>5498.99415</v>
      </c>
      <c r="M62" s="40" t="n">
        <f aca="false">(M60+M61)*Assumptions!$B$15</f>
        <v>5498.99415</v>
      </c>
      <c r="N62" s="45" t="n">
        <f aca="false">SUM(B62:M62)</f>
        <v>63390.0186</v>
      </c>
    </row>
    <row r="63" customFormat="false" ht="15" hidden="false" customHeight="true" outlineLevel="0" collapsed="false">
      <c r="A63" s="6" t="s">
        <v>230</v>
      </c>
      <c r="B63" s="40" t="n">
        <f aca="false">B59*Assumptions!$B$16</f>
        <v>10350</v>
      </c>
      <c r="C63" s="40" t="n">
        <f aca="false">C59*Assumptions!$B$16</f>
        <v>10350</v>
      </c>
      <c r="D63" s="40" t="n">
        <f aca="false">D59*Assumptions!$B$16</f>
        <v>10350</v>
      </c>
      <c r="E63" s="40" t="n">
        <f aca="false">E59*Assumptions!$B$16</f>
        <v>10350</v>
      </c>
      <c r="F63" s="40" t="n">
        <f aca="false">F59*Assumptions!$B$16</f>
        <v>11500</v>
      </c>
      <c r="G63" s="40" t="n">
        <f aca="false">G59*Assumptions!$B$16</f>
        <v>11500</v>
      </c>
      <c r="H63" s="40" t="n">
        <f aca="false">H59*Assumptions!$B$16</f>
        <v>11500</v>
      </c>
      <c r="I63" s="40" t="n">
        <f aca="false">I59*Assumptions!$B$16</f>
        <v>11500</v>
      </c>
      <c r="J63" s="40" t="n">
        <f aca="false">J59*Assumptions!$B$16</f>
        <v>11500</v>
      </c>
      <c r="K63" s="40" t="n">
        <f aca="false">K59*Assumptions!$B$16</f>
        <v>11500</v>
      </c>
      <c r="L63" s="40" t="n">
        <f aca="false">L59*Assumptions!$B$16</f>
        <v>11500</v>
      </c>
      <c r="M63" s="40" t="n">
        <f aca="false">M59*Assumptions!$B$16</f>
        <v>11500</v>
      </c>
      <c r="N63" s="45" t="n">
        <f aca="false">SUM(B63:M63)</f>
        <v>133400</v>
      </c>
    </row>
    <row r="64" customFormat="false" ht="15" hidden="false" customHeight="true" outlineLevel="0" collapsed="false">
      <c r="A64" s="6" t="s">
        <v>231</v>
      </c>
      <c r="B64" s="40" t="n">
        <f aca="false">SUMPRODUCT(('Headcount Calc'!$B$6:$B$83=$A$58)*('Headcount Calc'!$C$6:$C$83="Open role")*('Headcount Calc'!$H$6:$H$83=1)*('Headcount Calc'!$F$6:$F$83&gt;=B$4)*('Headcount Calc'!$F$6:$F$83&lt;=EOMONTH(B$4,0))*'Headcount Calc'!$E$6:$E$83)*Assumptions!$B$19+SUMPRODUCT(('Headcount Calc'!$B$6:$B$83=$A$58)*('Headcount Calc'!$C$6:$C$83="Open role")*('Headcount Calc'!$H$6:$H$83=1)*('Headcount Calc'!$F$6:$F$83&gt;=B$4)*('Headcount Calc'!$F$6:$F$83&lt;=EOMONTH(B$4,0)))*Assumptions!$B$20</f>
        <v>0</v>
      </c>
      <c r="C64" s="40" t="n">
        <f aca="false">SUMPRODUCT(('Headcount Calc'!$B$6:$B$83=$A$58)*('Headcount Calc'!$C$6:$C$83="Open role")*('Headcount Calc'!$H$6:$H$83=1)*('Headcount Calc'!$F$6:$F$83&gt;=C$4)*('Headcount Calc'!$F$6:$F$83&lt;=EOMONTH(C$4,0))*'Headcount Calc'!$E$6:$E$83)*Assumptions!$B$19+SUMPRODUCT(('Headcount Calc'!$B$6:$B$83=$A$58)*('Headcount Calc'!$C$6:$C$83="Open role")*('Headcount Calc'!$H$6:$H$83=1)*('Headcount Calc'!$F$6:$F$83&gt;=C$4)*('Headcount Calc'!$F$6:$F$83&lt;=EOMONTH(C$4,0)))*Assumptions!$B$20</f>
        <v>0</v>
      </c>
      <c r="D64" s="40" t="n">
        <f aca="false">SUMPRODUCT(('Headcount Calc'!$B$6:$B$83=$A$58)*('Headcount Calc'!$C$6:$C$83="Open role")*('Headcount Calc'!$H$6:$H$83=1)*('Headcount Calc'!$F$6:$F$83&gt;=D$4)*('Headcount Calc'!$F$6:$F$83&lt;=EOMONTH(D$4,0))*'Headcount Calc'!$E$6:$E$83)*Assumptions!$B$19+SUMPRODUCT(('Headcount Calc'!$B$6:$B$83=$A$58)*('Headcount Calc'!$C$6:$C$83="Open role")*('Headcount Calc'!$H$6:$H$83=1)*('Headcount Calc'!$F$6:$F$83&gt;=D$4)*('Headcount Calc'!$F$6:$F$83&lt;=EOMONTH(D$4,0)))*Assumptions!$B$20</f>
        <v>0</v>
      </c>
      <c r="E64" s="40" t="n">
        <f aca="false">SUMPRODUCT(('Headcount Calc'!$B$6:$B$83=$A$58)*('Headcount Calc'!$C$6:$C$83="Open role")*('Headcount Calc'!$H$6:$H$83=1)*('Headcount Calc'!$F$6:$F$83&gt;=E$4)*('Headcount Calc'!$F$6:$F$83&lt;=EOMONTH(E$4,0))*'Headcount Calc'!$E$6:$E$83)*Assumptions!$B$19+SUMPRODUCT(('Headcount Calc'!$B$6:$B$83=$A$58)*('Headcount Calc'!$C$6:$C$83="Open role")*('Headcount Calc'!$H$6:$H$83=1)*('Headcount Calc'!$F$6:$F$83&gt;=E$4)*('Headcount Calc'!$F$6:$F$83&lt;=EOMONTH(E$4,0)))*Assumptions!$B$20</f>
        <v>0</v>
      </c>
      <c r="F64" s="40" t="n">
        <f aca="false">SUMPRODUCT(('Headcount Calc'!$B$6:$B$83=$A$58)*('Headcount Calc'!$C$6:$C$83="Open role")*('Headcount Calc'!$H$6:$H$83=1)*('Headcount Calc'!$F$6:$F$83&gt;=F$4)*('Headcount Calc'!$F$6:$F$83&lt;=EOMONTH(F$4,0))*'Headcount Calc'!$E$6:$E$83)*Assumptions!$B$19+SUMPRODUCT(('Headcount Calc'!$B$6:$B$83=$A$58)*('Headcount Calc'!$C$6:$C$83="Open role")*('Headcount Calc'!$H$6:$H$83=1)*('Headcount Calc'!$F$6:$F$83&gt;=F$4)*('Headcount Calc'!$F$6:$F$83&lt;=EOMONTH(F$4,0)))*Assumptions!$B$20</f>
        <v>15000</v>
      </c>
      <c r="G64" s="40" t="n">
        <f aca="false">SUMPRODUCT(('Headcount Calc'!$B$6:$B$83=$A$58)*('Headcount Calc'!$C$6:$C$83="Open role")*('Headcount Calc'!$H$6:$H$83=1)*('Headcount Calc'!$F$6:$F$83&gt;=G$4)*('Headcount Calc'!$F$6:$F$83&lt;=EOMONTH(G$4,0))*'Headcount Calc'!$E$6:$E$83)*Assumptions!$B$19+SUMPRODUCT(('Headcount Calc'!$B$6:$B$83=$A$58)*('Headcount Calc'!$C$6:$C$83="Open role")*('Headcount Calc'!$H$6:$H$83=1)*('Headcount Calc'!$F$6:$F$83&gt;=G$4)*('Headcount Calc'!$F$6:$F$83&lt;=EOMONTH(G$4,0)))*Assumptions!$B$20</f>
        <v>0</v>
      </c>
      <c r="H64" s="40" t="n">
        <f aca="false">SUMPRODUCT(('Headcount Calc'!$B$6:$B$83=$A$58)*('Headcount Calc'!$C$6:$C$83="Open role")*('Headcount Calc'!$H$6:$H$83=1)*('Headcount Calc'!$F$6:$F$83&gt;=H$4)*('Headcount Calc'!$F$6:$F$83&lt;=EOMONTH(H$4,0))*'Headcount Calc'!$E$6:$E$83)*Assumptions!$B$19+SUMPRODUCT(('Headcount Calc'!$B$6:$B$83=$A$58)*('Headcount Calc'!$C$6:$C$83="Open role")*('Headcount Calc'!$H$6:$H$83=1)*('Headcount Calc'!$F$6:$F$83&gt;=H$4)*('Headcount Calc'!$F$6:$F$83&lt;=EOMONTH(H$4,0)))*Assumptions!$B$20</f>
        <v>0</v>
      </c>
      <c r="I64" s="40" t="n">
        <f aca="false">SUMPRODUCT(('Headcount Calc'!$B$6:$B$83=$A$58)*('Headcount Calc'!$C$6:$C$83="Open role")*('Headcount Calc'!$H$6:$H$83=1)*('Headcount Calc'!$F$6:$F$83&gt;=I$4)*('Headcount Calc'!$F$6:$F$83&lt;=EOMONTH(I$4,0))*'Headcount Calc'!$E$6:$E$83)*Assumptions!$B$19+SUMPRODUCT(('Headcount Calc'!$B$6:$B$83=$A$58)*('Headcount Calc'!$C$6:$C$83="Open role")*('Headcount Calc'!$H$6:$H$83=1)*('Headcount Calc'!$F$6:$F$83&gt;=I$4)*('Headcount Calc'!$F$6:$F$83&lt;=EOMONTH(I$4,0)))*Assumptions!$B$20</f>
        <v>0</v>
      </c>
      <c r="J64" s="40" t="n">
        <f aca="false">SUMPRODUCT(('Headcount Calc'!$B$6:$B$83=$A$58)*('Headcount Calc'!$C$6:$C$83="Open role")*('Headcount Calc'!$H$6:$H$83=1)*('Headcount Calc'!$F$6:$F$83&gt;=J$4)*('Headcount Calc'!$F$6:$F$83&lt;=EOMONTH(J$4,0))*'Headcount Calc'!$E$6:$E$83)*Assumptions!$B$19+SUMPRODUCT(('Headcount Calc'!$B$6:$B$83=$A$58)*('Headcount Calc'!$C$6:$C$83="Open role")*('Headcount Calc'!$H$6:$H$83=1)*('Headcount Calc'!$F$6:$F$83&gt;=J$4)*('Headcount Calc'!$F$6:$F$83&lt;=EOMONTH(J$4,0)))*Assumptions!$B$20</f>
        <v>12450</v>
      </c>
      <c r="K64" s="40" t="n">
        <f aca="false">SUMPRODUCT(('Headcount Calc'!$B$6:$B$83=$A$58)*('Headcount Calc'!$C$6:$C$83="Open role")*('Headcount Calc'!$H$6:$H$83=1)*('Headcount Calc'!$F$6:$F$83&gt;=K$4)*('Headcount Calc'!$F$6:$F$83&lt;=EOMONTH(K$4,0))*'Headcount Calc'!$E$6:$E$83)*Assumptions!$B$19+SUMPRODUCT(('Headcount Calc'!$B$6:$B$83=$A$58)*('Headcount Calc'!$C$6:$C$83="Open role")*('Headcount Calc'!$H$6:$H$83=1)*('Headcount Calc'!$F$6:$F$83&gt;=K$4)*('Headcount Calc'!$F$6:$F$83&lt;=EOMONTH(K$4,0)))*Assumptions!$B$20</f>
        <v>0</v>
      </c>
      <c r="L64" s="40" t="n">
        <f aca="false">SUMPRODUCT(('Headcount Calc'!$B$6:$B$83=$A$58)*('Headcount Calc'!$C$6:$C$83="Open role")*('Headcount Calc'!$H$6:$H$83=1)*('Headcount Calc'!$F$6:$F$83&gt;=L$4)*('Headcount Calc'!$F$6:$F$83&lt;=EOMONTH(L$4,0))*'Headcount Calc'!$E$6:$E$83)*Assumptions!$B$19+SUMPRODUCT(('Headcount Calc'!$B$6:$B$83=$A$58)*('Headcount Calc'!$C$6:$C$83="Open role")*('Headcount Calc'!$H$6:$H$83=1)*('Headcount Calc'!$F$6:$F$83&gt;=L$4)*('Headcount Calc'!$F$6:$F$83&lt;=EOMONTH(L$4,0)))*Assumptions!$B$20</f>
        <v>0</v>
      </c>
      <c r="M64" s="40" t="n">
        <f aca="false">SUMPRODUCT(('Headcount Calc'!$B$6:$B$83=$A$58)*('Headcount Calc'!$C$6:$C$83="Open role")*('Headcount Calc'!$H$6:$H$83=1)*('Headcount Calc'!$F$6:$F$83&gt;=M$4)*('Headcount Calc'!$F$6:$F$83&lt;=EOMONTH(M$4,0))*'Headcount Calc'!$E$6:$E$83)*Assumptions!$B$19+SUMPRODUCT(('Headcount Calc'!$B$6:$B$83=$A$58)*('Headcount Calc'!$C$6:$C$83="Open role")*('Headcount Calc'!$H$6:$H$83=1)*('Headcount Calc'!$F$6:$F$83&gt;=M$4)*('Headcount Calc'!$F$6:$F$83&lt;=EOMONTH(M$4,0)))*Assumptions!$B$20</f>
        <v>0</v>
      </c>
      <c r="N64" s="45" t="n">
        <f aca="false">SUM(B64:M64)</f>
        <v>27450</v>
      </c>
    </row>
    <row r="65" customFormat="false" ht="15" hidden="false" customHeight="true" outlineLevel="0" collapsed="false">
      <c r="A65" s="6" t="s">
        <v>232</v>
      </c>
      <c r="B65" s="40" t="n">
        <f aca="false">B59*Assumptions!$B$21</f>
        <v>2250</v>
      </c>
      <c r="C65" s="40" t="n">
        <f aca="false">C59*Assumptions!$B$21</f>
        <v>2250</v>
      </c>
      <c r="D65" s="40" t="n">
        <f aca="false">D59*Assumptions!$B$21</f>
        <v>2250</v>
      </c>
      <c r="E65" s="40" t="n">
        <f aca="false">E59*Assumptions!$B$21</f>
        <v>2250</v>
      </c>
      <c r="F65" s="40" t="n">
        <f aca="false">F59*Assumptions!$B$21</f>
        <v>2500</v>
      </c>
      <c r="G65" s="40" t="n">
        <f aca="false">G59*Assumptions!$B$21</f>
        <v>2500</v>
      </c>
      <c r="H65" s="40" t="n">
        <f aca="false">H59*Assumptions!$B$21</f>
        <v>2500</v>
      </c>
      <c r="I65" s="40" t="n">
        <f aca="false">I59*Assumptions!$B$21</f>
        <v>2500</v>
      </c>
      <c r="J65" s="40" t="n">
        <f aca="false">J59*Assumptions!$B$21</f>
        <v>2500</v>
      </c>
      <c r="K65" s="40" t="n">
        <f aca="false">K59*Assumptions!$B$21</f>
        <v>2500</v>
      </c>
      <c r="L65" s="40" t="n">
        <f aca="false">L59*Assumptions!$B$21</f>
        <v>2500</v>
      </c>
      <c r="M65" s="40" t="n">
        <f aca="false">M59*Assumptions!$B$21</f>
        <v>2500</v>
      </c>
      <c r="N65" s="45" t="n">
        <f aca="false">SUM(B65:M65)</f>
        <v>29000</v>
      </c>
    </row>
    <row r="66" customFormat="false" ht="15" hidden="false" customHeight="true" outlineLevel="0" collapsed="false">
      <c r="A66" s="6" t="s">
        <v>233</v>
      </c>
      <c r="B66" s="40" t="n">
        <f aca="false">B59*VLOOKUP($A$58,Assumptions!$A$35:$C$40,2,FALSE())</f>
        <v>1800</v>
      </c>
      <c r="C66" s="40" t="n">
        <f aca="false">C59*VLOOKUP($A$58,Assumptions!$A$35:$C$40,2,FALSE())</f>
        <v>1800</v>
      </c>
      <c r="D66" s="40" t="n">
        <f aca="false">D59*VLOOKUP($A$58,Assumptions!$A$35:$C$40,2,FALSE())</f>
        <v>1800</v>
      </c>
      <c r="E66" s="40" t="n">
        <f aca="false">E59*VLOOKUP($A$58,Assumptions!$A$35:$C$40,2,FALSE())</f>
        <v>1800</v>
      </c>
      <c r="F66" s="40" t="n">
        <f aca="false">F59*VLOOKUP($A$58,Assumptions!$A$35:$C$40,2,FALSE())</f>
        <v>2000</v>
      </c>
      <c r="G66" s="40" t="n">
        <f aca="false">G59*VLOOKUP($A$58,Assumptions!$A$35:$C$40,2,FALSE())</f>
        <v>2000</v>
      </c>
      <c r="H66" s="40" t="n">
        <f aca="false">H59*VLOOKUP($A$58,Assumptions!$A$35:$C$40,2,FALSE())</f>
        <v>2000</v>
      </c>
      <c r="I66" s="40" t="n">
        <f aca="false">I59*VLOOKUP($A$58,Assumptions!$A$35:$C$40,2,FALSE())</f>
        <v>2000</v>
      </c>
      <c r="J66" s="40" t="n">
        <f aca="false">J59*VLOOKUP($A$58,Assumptions!$A$35:$C$40,2,FALSE())</f>
        <v>2000</v>
      </c>
      <c r="K66" s="40" t="n">
        <f aca="false">K59*VLOOKUP($A$58,Assumptions!$A$35:$C$40,2,FALSE())</f>
        <v>2000</v>
      </c>
      <c r="L66" s="40" t="n">
        <f aca="false">L59*VLOOKUP($A$58,Assumptions!$A$35:$C$40,2,FALSE())</f>
        <v>2000</v>
      </c>
      <c r="M66" s="40" t="n">
        <f aca="false">M59*VLOOKUP($A$58,Assumptions!$A$35:$C$40,2,FALSE())</f>
        <v>2000</v>
      </c>
      <c r="N66" s="45" t="n">
        <f aca="false">SUM(B66:M66)</f>
        <v>23200</v>
      </c>
    </row>
    <row r="67" customFormat="false" ht="15" hidden="false" customHeight="true" outlineLevel="0" collapsed="false">
      <c r="A67" s="6" t="s">
        <v>234</v>
      </c>
      <c r="B67" s="40" t="n">
        <f aca="false">B59*Assumptions!$B$22</f>
        <v>5400</v>
      </c>
      <c r="C67" s="40" t="n">
        <f aca="false">C59*Assumptions!$B$22</f>
        <v>5400</v>
      </c>
      <c r="D67" s="40" t="n">
        <f aca="false">D59*Assumptions!$B$22</f>
        <v>5400</v>
      </c>
      <c r="E67" s="40" t="n">
        <f aca="false">E59*Assumptions!$B$22</f>
        <v>5400</v>
      </c>
      <c r="F67" s="40" t="n">
        <f aca="false">F59*Assumptions!$B$22</f>
        <v>6000</v>
      </c>
      <c r="G67" s="40" t="n">
        <f aca="false">G59*Assumptions!$B$22</f>
        <v>6000</v>
      </c>
      <c r="H67" s="40" t="n">
        <f aca="false">H59*Assumptions!$B$22</f>
        <v>6000</v>
      </c>
      <c r="I67" s="40" t="n">
        <f aca="false">I59*Assumptions!$B$22</f>
        <v>6000</v>
      </c>
      <c r="J67" s="40" t="n">
        <f aca="false">J59*Assumptions!$B$22</f>
        <v>6000</v>
      </c>
      <c r="K67" s="40" t="n">
        <f aca="false">K59*Assumptions!$B$22</f>
        <v>6000</v>
      </c>
      <c r="L67" s="40" t="n">
        <f aca="false">L59*Assumptions!$B$22</f>
        <v>6000</v>
      </c>
      <c r="M67" s="40" t="n">
        <f aca="false">M59*Assumptions!$B$22</f>
        <v>6000</v>
      </c>
      <c r="N67" s="45" t="n">
        <f aca="false">SUM(B67:M67)</f>
        <v>69600</v>
      </c>
    </row>
    <row r="68" customFormat="false" ht="15" hidden="false" customHeight="true" outlineLevel="0" collapsed="false">
      <c r="A68" s="6" t="s">
        <v>235</v>
      </c>
      <c r="B68" s="40" t="n">
        <f aca="false">VLOOKUP($A$58,Assumptions!$A$35:$C$40,3,FALSE())/12*(1+Assumptions!$F$11)</f>
        <v>12500</v>
      </c>
      <c r="C68" s="40" t="n">
        <f aca="false">VLOOKUP($A$58,Assumptions!$A$35:$C$40,3,FALSE())/12*(1+Assumptions!$F$11)</f>
        <v>12500</v>
      </c>
      <c r="D68" s="40" t="n">
        <f aca="false">VLOOKUP($A$58,Assumptions!$A$35:$C$40,3,FALSE())/12*(1+Assumptions!$F$11)</f>
        <v>12500</v>
      </c>
      <c r="E68" s="40" t="n">
        <f aca="false">VLOOKUP($A$58,Assumptions!$A$35:$C$40,3,FALSE())/12*(1+Assumptions!$F$11)</f>
        <v>12500</v>
      </c>
      <c r="F68" s="40" t="n">
        <f aca="false">VLOOKUP($A$58,Assumptions!$A$35:$C$40,3,FALSE())/12*(1+Assumptions!$F$11)</f>
        <v>12500</v>
      </c>
      <c r="G68" s="40" t="n">
        <f aca="false">VLOOKUP($A$58,Assumptions!$A$35:$C$40,3,FALSE())/12*(1+Assumptions!$F$11)</f>
        <v>12500</v>
      </c>
      <c r="H68" s="40" t="n">
        <f aca="false">VLOOKUP($A$58,Assumptions!$A$35:$C$40,3,FALSE())/12*(1+Assumptions!$F$11)</f>
        <v>12500</v>
      </c>
      <c r="I68" s="40" t="n">
        <f aca="false">VLOOKUP($A$58,Assumptions!$A$35:$C$40,3,FALSE())/12*(1+Assumptions!$F$11)</f>
        <v>12500</v>
      </c>
      <c r="J68" s="40" t="n">
        <f aca="false">VLOOKUP($A$58,Assumptions!$A$35:$C$40,3,FALSE())/12*(1+Assumptions!$F$11)</f>
        <v>12500</v>
      </c>
      <c r="K68" s="40" t="n">
        <f aca="false">VLOOKUP($A$58,Assumptions!$A$35:$C$40,3,FALSE())/12*(1+Assumptions!$F$11)</f>
        <v>12500</v>
      </c>
      <c r="L68" s="40" t="n">
        <f aca="false">VLOOKUP($A$58,Assumptions!$A$35:$C$40,3,FALSE())/12*(1+Assumptions!$F$11)</f>
        <v>12500</v>
      </c>
      <c r="M68" s="40" t="n">
        <f aca="false">VLOOKUP($A$58,Assumptions!$A$35:$C$40,3,FALSE())/12*(1+Assumptions!$F$11)</f>
        <v>12500</v>
      </c>
      <c r="N68" s="45" t="n">
        <f aca="false">SUM(B68:M68)</f>
        <v>150000</v>
      </c>
    </row>
    <row r="69" customFormat="false" ht="15" hidden="false" customHeight="true" outlineLevel="0" collapsed="false">
      <c r="A69" s="16" t="s">
        <v>236</v>
      </c>
      <c r="B69" s="42" t="n">
        <f aca="false">SUM(B60:B68)</f>
        <v>103913.173333333</v>
      </c>
      <c r="C69" s="42" t="n">
        <f aca="false">SUM(C60:C68)</f>
        <v>103913.173333333</v>
      </c>
      <c r="D69" s="42" t="n">
        <f aca="false">SUM(D60:D68)</f>
        <v>103913.173333333</v>
      </c>
      <c r="E69" s="42" t="n">
        <f aca="false">SUM(E60:E68)</f>
        <v>106419.6344</v>
      </c>
      <c r="F69" s="42" t="n">
        <f aca="false">SUM(F60:F68)</f>
        <v>131338.0344</v>
      </c>
      <c r="G69" s="42" t="n">
        <f aca="false">SUM(G60:G68)</f>
        <v>116338.0344</v>
      </c>
      <c r="H69" s="42" t="n">
        <f aca="false">SUM(H60:H68)</f>
        <v>116338.0344</v>
      </c>
      <c r="I69" s="42" t="n">
        <f aca="false">SUM(I60:I68)</f>
        <v>116338.0344</v>
      </c>
      <c r="J69" s="42" t="n">
        <f aca="false">SUM(J60:J68)</f>
        <v>128823.9129</v>
      </c>
      <c r="K69" s="42" t="n">
        <f aca="false">SUM(K60:K68)</f>
        <v>116373.9129</v>
      </c>
      <c r="L69" s="42" t="n">
        <f aca="false">SUM(L60:L68)</f>
        <v>116373.9129</v>
      </c>
      <c r="M69" s="42" t="n">
        <f aca="false">SUM(M60:M68)</f>
        <v>116373.9129</v>
      </c>
      <c r="N69" s="42" t="n">
        <f aca="false">SUM(B69:M69)</f>
        <v>1376456.9436</v>
      </c>
    </row>
    <row r="71" customFormat="false" ht="15" hidden="false" customHeight="true" outlineLevel="0" collapsed="false">
      <c r="A71" s="4" t="s">
        <v>71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true" outlineLevel="0" collapsed="false">
      <c r="A72" s="6" t="s">
        <v>226</v>
      </c>
      <c r="B72" s="43" t="n">
        <f aca="false">SUMIF('Headcount Calc'!$B$6:$B$83,$A$71,'Headcount Calc'!K$6:K$83)</f>
        <v>8</v>
      </c>
      <c r="C72" s="43" t="n">
        <f aca="false">SUMIF('Headcount Calc'!$B$6:$B$83,$A$71,'Headcount Calc'!L$6:L$83)</f>
        <v>9</v>
      </c>
      <c r="D72" s="43" t="n">
        <f aca="false">SUMIF('Headcount Calc'!$B$6:$B$83,$A$71,'Headcount Calc'!M$6:M$83)</f>
        <v>9</v>
      </c>
      <c r="E72" s="43" t="n">
        <f aca="false">SUMIF('Headcount Calc'!$B$6:$B$83,$A$71,'Headcount Calc'!N$6:N$83)</f>
        <v>9</v>
      </c>
      <c r="F72" s="43" t="n">
        <f aca="false">SUMIF('Headcount Calc'!$B$6:$B$83,$A$71,'Headcount Calc'!O$6:O$83)</f>
        <v>9</v>
      </c>
      <c r="G72" s="43" t="n">
        <f aca="false">SUMIF('Headcount Calc'!$B$6:$B$83,$A$71,'Headcount Calc'!P$6:P$83)</f>
        <v>10</v>
      </c>
      <c r="H72" s="43" t="n">
        <f aca="false">SUMIF('Headcount Calc'!$B$6:$B$83,$A$71,'Headcount Calc'!Q$6:Q$83)</f>
        <v>10</v>
      </c>
      <c r="I72" s="43" t="n">
        <f aca="false">SUMIF('Headcount Calc'!$B$6:$B$83,$A$71,'Headcount Calc'!R$6:R$83)</f>
        <v>10</v>
      </c>
      <c r="J72" s="43" t="n">
        <f aca="false">SUMIF('Headcount Calc'!$B$6:$B$83,$A$71,'Headcount Calc'!S$6:S$83)</f>
        <v>10</v>
      </c>
      <c r="K72" s="43" t="n">
        <f aca="false">SUMIF('Headcount Calc'!$B$6:$B$83,$A$71,'Headcount Calc'!T$6:T$83)</f>
        <v>10</v>
      </c>
      <c r="L72" s="43" t="n">
        <f aca="false">SUMIF('Headcount Calc'!$B$6:$B$83,$A$71,'Headcount Calc'!U$6:U$83)</f>
        <v>10</v>
      </c>
      <c r="M72" s="43" t="n">
        <f aca="false">SUMIF('Headcount Calc'!$B$6:$B$83,$A$71,'Headcount Calc'!V$6:V$83)</f>
        <v>10</v>
      </c>
      <c r="N72" s="44" t="n">
        <f aca="false">AVERAGE(B72:M72)</f>
        <v>9.5</v>
      </c>
    </row>
    <row r="73" customFormat="false" ht="15" hidden="false" customHeight="true" outlineLevel="0" collapsed="false">
      <c r="A73" s="6" t="s">
        <v>227</v>
      </c>
      <c r="B73" s="40" t="n">
        <f aca="false">SUMIF('Headcount Calc'!$B$6:$B$83,$A$71,'Headcount Calc'!W$6:W$83)</f>
        <v>77583.3333333333</v>
      </c>
      <c r="C73" s="40" t="n">
        <f aca="false">SUMIF('Headcount Calc'!$B$6:$B$83,$A$71,'Headcount Calc'!X$6:X$83)</f>
        <v>87625</v>
      </c>
      <c r="D73" s="40" t="n">
        <f aca="false">SUMIF('Headcount Calc'!$B$6:$B$83,$A$71,'Headcount Calc'!Y$6:Y$83)</f>
        <v>87625</v>
      </c>
      <c r="E73" s="40" t="n">
        <f aca="false">SUMIF('Headcount Calc'!$B$6:$B$83,$A$71,'Headcount Calc'!Z$6:Z$83)</f>
        <v>90340.4166666667</v>
      </c>
      <c r="F73" s="40" t="n">
        <f aca="false">SUMIF('Headcount Calc'!$B$6:$B$83,$A$71,'Headcount Calc'!AA$6:AA$83)</f>
        <v>90340.4166666667</v>
      </c>
      <c r="G73" s="40" t="n">
        <f aca="false">SUMIF('Headcount Calc'!$B$6:$B$83,$A$71,'Headcount Calc'!AB$6:AB$83)</f>
        <v>98090.4166666667</v>
      </c>
      <c r="H73" s="40" t="n">
        <f aca="false">SUMIF('Headcount Calc'!$B$6:$B$83,$A$71,'Headcount Calc'!AC$6:AC$83)</f>
        <v>98090.4166666667</v>
      </c>
      <c r="I73" s="40" t="n">
        <f aca="false">SUMIF('Headcount Calc'!$B$6:$B$83,$A$71,'Headcount Calc'!AD$6:AD$83)</f>
        <v>98090.4166666667</v>
      </c>
      <c r="J73" s="40" t="n">
        <f aca="false">SUMIF('Headcount Calc'!$B$6:$B$83,$A$71,'Headcount Calc'!AE$6:AE$83)</f>
        <v>98090.4166666667</v>
      </c>
      <c r="K73" s="40" t="n">
        <f aca="false">SUMIF('Headcount Calc'!$B$6:$B$83,$A$71,'Headcount Calc'!AF$6:AF$83)</f>
        <v>98090.4166666667</v>
      </c>
      <c r="L73" s="40" t="n">
        <f aca="false">SUMIF('Headcount Calc'!$B$6:$B$83,$A$71,'Headcount Calc'!AG$6:AG$83)</f>
        <v>98090.4166666667</v>
      </c>
      <c r="M73" s="40" t="n">
        <f aca="false">SUMIF('Headcount Calc'!$B$6:$B$83,$A$71,'Headcount Calc'!AH$6:AH$83)</f>
        <v>98090.4166666667</v>
      </c>
      <c r="N73" s="45" t="n">
        <f aca="false">SUM(B73:M73)</f>
        <v>1120147.08333333</v>
      </c>
    </row>
    <row r="74" customFormat="false" ht="15" hidden="false" customHeight="true" outlineLevel="0" collapsed="false">
      <c r="A74" s="6" t="s">
        <v>228</v>
      </c>
      <c r="B74" s="40" t="n">
        <f aca="false">SUMPRODUCT(('Headcount Calc'!$B$6:$B$83=$A$71)*'Headcount Calc'!W$6:W$83*'Headcount Calc'!$I$6:$I$83)</f>
        <v>9318.75</v>
      </c>
      <c r="C74" s="40" t="n">
        <f aca="false">SUMPRODUCT(('Headcount Calc'!$B$6:$B$83=$A$71)*'Headcount Calc'!X$6:X$83*'Headcount Calc'!$I$6:$I$83)</f>
        <v>10322.9166666667</v>
      </c>
      <c r="D74" s="40" t="n">
        <f aca="false">SUMPRODUCT(('Headcount Calc'!$B$6:$B$83=$A$71)*'Headcount Calc'!Y$6:Y$83*'Headcount Calc'!$I$6:$I$83)</f>
        <v>10322.9166666667</v>
      </c>
      <c r="E74" s="40" t="n">
        <f aca="false">SUMPRODUCT(('Headcount Calc'!$B$6:$B$83=$A$71)*'Headcount Calc'!Z$6:Z$83*'Headcount Calc'!$I$6:$I$83)</f>
        <v>10649.0729166667</v>
      </c>
      <c r="F74" s="40" t="n">
        <f aca="false">SUMPRODUCT(('Headcount Calc'!$B$6:$B$83=$A$71)*'Headcount Calc'!AA$6:AA$83*'Headcount Calc'!$I$6:$I$83)</f>
        <v>10649.0729166667</v>
      </c>
      <c r="G74" s="40" t="n">
        <f aca="false">SUMPRODUCT(('Headcount Calc'!$B$6:$B$83=$A$71)*'Headcount Calc'!AB$6:AB$83*'Headcount Calc'!$I$6:$I$83)</f>
        <v>11269.0729166667</v>
      </c>
      <c r="H74" s="40" t="n">
        <f aca="false">SUMPRODUCT(('Headcount Calc'!$B$6:$B$83=$A$71)*'Headcount Calc'!AC$6:AC$83*'Headcount Calc'!$I$6:$I$83)</f>
        <v>11269.0729166667</v>
      </c>
      <c r="I74" s="40" t="n">
        <f aca="false">SUMPRODUCT(('Headcount Calc'!$B$6:$B$83=$A$71)*'Headcount Calc'!AD$6:AD$83*'Headcount Calc'!$I$6:$I$83)</f>
        <v>11269.0729166667</v>
      </c>
      <c r="J74" s="40" t="n">
        <f aca="false">SUMPRODUCT(('Headcount Calc'!$B$6:$B$83=$A$71)*'Headcount Calc'!AE$6:AE$83*'Headcount Calc'!$I$6:$I$83)</f>
        <v>11269.0729166667</v>
      </c>
      <c r="K74" s="40" t="n">
        <f aca="false">SUMPRODUCT(('Headcount Calc'!$B$6:$B$83=$A$71)*'Headcount Calc'!AF$6:AF$83*'Headcount Calc'!$I$6:$I$83)</f>
        <v>11269.0729166667</v>
      </c>
      <c r="L74" s="40" t="n">
        <f aca="false">SUMPRODUCT(('Headcount Calc'!$B$6:$B$83=$A$71)*'Headcount Calc'!AG$6:AG$83*'Headcount Calc'!$I$6:$I$83)</f>
        <v>11269.0729166667</v>
      </c>
      <c r="M74" s="40" t="n">
        <f aca="false">SUMPRODUCT(('Headcount Calc'!$B$6:$B$83=$A$71)*'Headcount Calc'!AH$6:AH$83*'Headcount Calc'!$I$6:$I$83)</f>
        <v>11269.0729166667</v>
      </c>
      <c r="N74" s="45" t="n">
        <f aca="false">SUM(B74:M74)</f>
        <v>130146.239583333</v>
      </c>
    </row>
    <row r="75" customFormat="false" ht="15" hidden="false" customHeight="true" outlineLevel="0" collapsed="false">
      <c r="A75" s="6" t="s">
        <v>229</v>
      </c>
      <c r="B75" s="40" t="n">
        <f aca="false">(B73+B74)*Assumptions!$B$15</f>
        <v>6256.95</v>
      </c>
      <c r="C75" s="40" t="n">
        <f aca="false">(C73+C74)*Assumptions!$B$15</f>
        <v>7052.25</v>
      </c>
      <c r="D75" s="40" t="n">
        <f aca="false">(D73+D74)*Assumptions!$B$15</f>
        <v>7052.25</v>
      </c>
      <c r="E75" s="40" t="n">
        <f aca="false">(E73+E74)*Assumptions!$B$15</f>
        <v>7271.24325</v>
      </c>
      <c r="F75" s="40" t="n">
        <f aca="false">(F73+F74)*Assumptions!$B$15</f>
        <v>7271.24325</v>
      </c>
      <c r="G75" s="40" t="n">
        <f aca="false">(G73+G74)*Assumptions!$B$15</f>
        <v>7873.88325</v>
      </c>
      <c r="H75" s="40" t="n">
        <f aca="false">(H73+H74)*Assumptions!$B$15</f>
        <v>7873.88325</v>
      </c>
      <c r="I75" s="40" t="n">
        <f aca="false">(I73+I74)*Assumptions!$B$15</f>
        <v>7873.88325</v>
      </c>
      <c r="J75" s="40" t="n">
        <f aca="false">(J73+J74)*Assumptions!$B$15</f>
        <v>7873.88325</v>
      </c>
      <c r="K75" s="40" t="n">
        <f aca="false">(K73+K74)*Assumptions!$B$15</f>
        <v>7873.88325</v>
      </c>
      <c r="L75" s="40" t="n">
        <f aca="false">(L73+L74)*Assumptions!$B$15</f>
        <v>7873.88325</v>
      </c>
      <c r="M75" s="40" t="n">
        <f aca="false">(M73+M74)*Assumptions!$B$15</f>
        <v>7873.88325</v>
      </c>
      <c r="N75" s="45" t="n">
        <f aca="false">SUM(B75:M75)</f>
        <v>90021.11925</v>
      </c>
    </row>
    <row r="76" customFormat="false" ht="15" hidden="false" customHeight="true" outlineLevel="0" collapsed="false">
      <c r="A76" s="6" t="s">
        <v>230</v>
      </c>
      <c r="B76" s="40" t="n">
        <f aca="false">B72*Assumptions!$B$16</f>
        <v>9200</v>
      </c>
      <c r="C76" s="40" t="n">
        <f aca="false">C72*Assumptions!$B$16</f>
        <v>10350</v>
      </c>
      <c r="D76" s="40" t="n">
        <f aca="false">D72*Assumptions!$B$16</f>
        <v>10350</v>
      </c>
      <c r="E76" s="40" t="n">
        <f aca="false">E72*Assumptions!$B$16</f>
        <v>10350</v>
      </c>
      <c r="F76" s="40" t="n">
        <f aca="false">F72*Assumptions!$B$16</f>
        <v>10350</v>
      </c>
      <c r="G76" s="40" t="n">
        <f aca="false">G72*Assumptions!$B$16</f>
        <v>11500</v>
      </c>
      <c r="H76" s="40" t="n">
        <f aca="false">H72*Assumptions!$B$16</f>
        <v>11500</v>
      </c>
      <c r="I76" s="40" t="n">
        <f aca="false">I72*Assumptions!$B$16</f>
        <v>11500</v>
      </c>
      <c r="J76" s="40" t="n">
        <f aca="false">J72*Assumptions!$B$16</f>
        <v>11500</v>
      </c>
      <c r="K76" s="40" t="n">
        <f aca="false">K72*Assumptions!$B$16</f>
        <v>11500</v>
      </c>
      <c r="L76" s="40" t="n">
        <f aca="false">L72*Assumptions!$B$16</f>
        <v>11500</v>
      </c>
      <c r="M76" s="40" t="n">
        <f aca="false">M72*Assumptions!$B$16</f>
        <v>11500</v>
      </c>
      <c r="N76" s="45" t="n">
        <f aca="false">SUM(B76:M76)</f>
        <v>131100</v>
      </c>
    </row>
    <row r="77" customFormat="false" ht="15" hidden="false" customHeight="true" outlineLevel="0" collapsed="false">
      <c r="A77" s="6" t="s">
        <v>231</v>
      </c>
      <c r="B77" s="40" t="n">
        <f aca="false">SUMPRODUCT(('Headcount Calc'!$B$6:$B$83=$A$71)*('Headcount Calc'!$C$6:$C$83="Open role")*('Headcount Calc'!$H$6:$H$83=1)*('Headcount Calc'!$F$6:$F$83&gt;=B$4)*('Headcount Calc'!$F$6:$F$83&lt;=EOMONTH(B$4,0))*'Headcount Calc'!$E$6:$E$83)*Assumptions!$B$19+SUMPRODUCT(('Headcount Calc'!$B$6:$B$83=$A$71)*('Headcount Calc'!$C$6:$C$83="Open role")*('Headcount Calc'!$H$6:$H$83=1)*('Headcount Calc'!$F$6:$F$83&gt;=B$4)*('Headcount Calc'!$F$6:$F$83&lt;=EOMONTH(B$4,0)))*Assumptions!$B$20</f>
        <v>0</v>
      </c>
      <c r="C77" s="40" t="n">
        <f aca="false">SUMPRODUCT(('Headcount Calc'!$B$6:$B$83=$A$71)*('Headcount Calc'!$C$6:$C$83="Open role")*('Headcount Calc'!$H$6:$H$83=1)*('Headcount Calc'!$F$6:$F$83&gt;=C$4)*('Headcount Calc'!$F$6:$F$83&lt;=EOMONTH(C$4,0))*'Headcount Calc'!$E$6:$E$83)*Assumptions!$B$19+SUMPRODUCT(('Headcount Calc'!$B$6:$B$83=$A$71)*('Headcount Calc'!$C$6:$C$83="Open role")*('Headcount Calc'!$H$6:$H$83=1)*('Headcount Calc'!$F$6:$F$83&gt;=C$4)*('Headcount Calc'!$F$6:$F$83&lt;=EOMONTH(C$4,0)))*Assumptions!$B$20</f>
        <v>21075</v>
      </c>
      <c r="D77" s="40" t="n">
        <f aca="false">SUMPRODUCT(('Headcount Calc'!$B$6:$B$83=$A$71)*('Headcount Calc'!$C$6:$C$83="Open role")*('Headcount Calc'!$H$6:$H$83=1)*('Headcount Calc'!$F$6:$F$83&gt;=D$4)*('Headcount Calc'!$F$6:$F$83&lt;=EOMONTH(D$4,0))*'Headcount Calc'!$E$6:$E$83)*Assumptions!$B$19+SUMPRODUCT(('Headcount Calc'!$B$6:$B$83=$A$71)*('Headcount Calc'!$C$6:$C$83="Open role")*('Headcount Calc'!$H$6:$H$83=1)*('Headcount Calc'!$F$6:$F$83&gt;=D$4)*('Headcount Calc'!$F$6:$F$83&lt;=EOMONTH(D$4,0)))*Assumptions!$B$20</f>
        <v>0</v>
      </c>
      <c r="E77" s="40" t="n">
        <f aca="false">SUMPRODUCT(('Headcount Calc'!$B$6:$B$83=$A$71)*('Headcount Calc'!$C$6:$C$83="Open role")*('Headcount Calc'!$H$6:$H$83=1)*('Headcount Calc'!$F$6:$F$83&gt;=E$4)*('Headcount Calc'!$F$6:$F$83&lt;=EOMONTH(E$4,0))*'Headcount Calc'!$E$6:$E$83)*Assumptions!$B$19+SUMPRODUCT(('Headcount Calc'!$B$6:$B$83=$A$71)*('Headcount Calc'!$C$6:$C$83="Open role")*('Headcount Calc'!$H$6:$H$83=1)*('Headcount Calc'!$F$6:$F$83&gt;=E$4)*('Headcount Calc'!$F$6:$F$83&lt;=EOMONTH(E$4,0)))*Assumptions!$B$20</f>
        <v>0</v>
      </c>
      <c r="F77" s="40" t="n">
        <f aca="false">SUMPRODUCT(('Headcount Calc'!$B$6:$B$83=$A$71)*('Headcount Calc'!$C$6:$C$83="Open role")*('Headcount Calc'!$H$6:$H$83=1)*('Headcount Calc'!$F$6:$F$83&gt;=F$4)*('Headcount Calc'!$F$6:$F$83&lt;=EOMONTH(F$4,0))*'Headcount Calc'!$E$6:$E$83)*Assumptions!$B$19+SUMPRODUCT(('Headcount Calc'!$B$6:$B$83=$A$71)*('Headcount Calc'!$C$6:$C$83="Open role")*('Headcount Calc'!$H$6:$H$83=1)*('Headcount Calc'!$F$6:$F$83&gt;=F$4)*('Headcount Calc'!$F$6:$F$83&lt;=EOMONTH(F$4,0)))*Assumptions!$B$20</f>
        <v>0</v>
      </c>
      <c r="G77" s="40" t="n">
        <f aca="false">SUMPRODUCT(('Headcount Calc'!$B$6:$B$83=$A$71)*('Headcount Calc'!$C$6:$C$83="Open role")*('Headcount Calc'!$H$6:$H$83=1)*('Headcount Calc'!$F$6:$F$83&gt;=G$4)*('Headcount Calc'!$F$6:$F$83&lt;=EOMONTH(G$4,0))*'Headcount Calc'!$E$6:$E$83)*Assumptions!$B$19+SUMPRODUCT(('Headcount Calc'!$B$6:$B$83=$A$71)*('Headcount Calc'!$C$6:$C$83="Open role")*('Headcount Calc'!$H$6:$H$83=1)*('Headcount Calc'!$F$6:$F$83&gt;=G$4)*('Headcount Calc'!$F$6:$F$83&lt;=EOMONTH(G$4,0)))*Assumptions!$B$20</f>
        <v>16950</v>
      </c>
      <c r="H77" s="40" t="n">
        <f aca="false">SUMPRODUCT(('Headcount Calc'!$B$6:$B$83=$A$71)*('Headcount Calc'!$C$6:$C$83="Open role")*('Headcount Calc'!$H$6:$H$83=1)*('Headcount Calc'!$F$6:$F$83&gt;=H$4)*('Headcount Calc'!$F$6:$F$83&lt;=EOMONTH(H$4,0))*'Headcount Calc'!$E$6:$E$83)*Assumptions!$B$19+SUMPRODUCT(('Headcount Calc'!$B$6:$B$83=$A$71)*('Headcount Calc'!$C$6:$C$83="Open role")*('Headcount Calc'!$H$6:$H$83=1)*('Headcount Calc'!$F$6:$F$83&gt;=H$4)*('Headcount Calc'!$F$6:$F$83&lt;=EOMONTH(H$4,0)))*Assumptions!$B$20</f>
        <v>0</v>
      </c>
      <c r="I77" s="40" t="n">
        <f aca="false">SUMPRODUCT(('Headcount Calc'!$B$6:$B$83=$A$71)*('Headcount Calc'!$C$6:$C$83="Open role")*('Headcount Calc'!$H$6:$H$83=1)*('Headcount Calc'!$F$6:$F$83&gt;=I$4)*('Headcount Calc'!$F$6:$F$83&lt;=EOMONTH(I$4,0))*'Headcount Calc'!$E$6:$E$83)*Assumptions!$B$19+SUMPRODUCT(('Headcount Calc'!$B$6:$B$83=$A$71)*('Headcount Calc'!$C$6:$C$83="Open role")*('Headcount Calc'!$H$6:$H$83=1)*('Headcount Calc'!$F$6:$F$83&gt;=I$4)*('Headcount Calc'!$F$6:$F$83&lt;=EOMONTH(I$4,0)))*Assumptions!$B$20</f>
        <v>0</v>
      </c>
      <c r="J77" s="40" t="n">
        <f aca="false">SUMPRODUCT(('Headcount Calc'!$B$6:$B$83=$A$71)*('Headcount Calc'!$C$6:$C$83="Open role")*('Headcount Calc'!$H$6:$H$83=1)*('Headcount Calc'!$F$6:$F$83&gt;=J$4)*('Headcount Calc'!$F$6:$F$83&lt;=EOMONTH(J$4,0))*'Headcount Calc'!$E$6:$E$83)*Assumptions!$B$19+SUMPRODUCT(('Headcount Calc'!$B$6:$B$83=$A$71)*('Headcount Calc'!$C$6:$C$83="Open role")*('Headcount Calc'!$H$6:$H$83=1)*('Headcount Calc'!$F$6:$F$83&gt;=J$4)*('Headcount Calc'!$F$6:$F$83&lt;=EOMONTH(J$4,0)))*Assumptions!$B$20</f>
        <v>0</v>
      </c>
      <c r="K77" s="40" t="n">
        <f aca="false">SUMPRODUCT(('Headcount Calc'!$B$6:$B$83=$A$71)*('Headcount Calc'!$C$6:$C$83="Open role")*('Headcount Calc'!$H$6:$H$83=1)*('Headcount Calc'!$F$6:$F$83&gt;=K$4)*('Headcount Calc'!$F$6:$F$83&lt;=EOMONTH(K$4,0))*'Headcount Calc'!$E$6:$E$83)*Assumptions!$B$19+SUMPRODUCT(('Headcount Calc'!$B$6:$B$83=$A$71)*('Headcount Calc'!$C$6:$C$83="Open role")*('Headcount Calc'!$H$6:$H$83=1)*('Headcount Calc'!$F$6:$F$83&gt;=K$4)*('Headcount Calc'!$F$6:$F$83&lt;=EOMONTH(K$4,0)))*Assumptions!$B$20</f>
        <v>0</v>
      </c>
      <c r="L77" s="40" t="n">
        <f aca="false">SUMPRODUCT(('Headcount Calc'!$B$6:$B$83=$A$71)*('Headcount Calc'!$C$6:$C$83="Open role")*('Headcount Calc'!$H$6:$H$83=1)*('Headcount Calc'!$F$6:$F$83&gt;=L$4)*('Headcount Calc'!$F$6:$F$83&lt;=EOMONTH(L$4,0))*'Headcount Calc'!$E$6:$E$83)*Assumptions!$B$19+SUMPRODUCT(('Headcount Calc'!$B$6:$B$83=$A$71)*('Headcount Calc'!$C$6:$C$83="Open role")*('Headcount Calc'!$H$6:$H$83=1)*('Headcount Calc'!$F$6:$F$83&gt;=L$4)*('Headcount Calc'!$F$6:$F$83&lt;=EOMONTH(L$4,0)))*Assumptions!$B$20</f>
        <v>0</v>
      </c>
      <c r="M77" s="40" t="n">
        <f aca="false">SUMPRODUCT(('Headcount Calc'!$B$6:$B$83=$A$71)*('Headcount Calc'!$C$6:$C$83="Open role")*('Headcount Calc'!$H$6:$H$83=1)*('Headcount Calc'!$F$6:$F$83&gt;=M$4)*('Headcount Calc'!$F$6:$F$83&lt;=EOMONTH(M$4,0))*'Headcount Calc'!$E$6:$E$83)*Assumptions!$B$19+SUMPRODUCT(('Headcount Calc'!$B$6:$B$83=$A$71)*('Headcount Calc'!$C$6:$C$83="Open role")*('Headcount Calc'!$H$6:$H$83=1)*('Headcount Calc'!$F$6:$F$83&gt;=M$4)*('Headcount Calc'!$F$6:$F$83&lt;=EOMONTH(M$4,0)))*Assumptions!$B$20</f>
        <v>0</v>
      </c>
      <c r="N77" s="45" t="n">
        <f aca="false">SUM(B77:M77)</f>
        <v>38025</v>
      </c>
    </row>
    <row r="78" customFormat="false" ht="15" hidden="false" customHeight="true" outlineLevel="0" collapsed="false">
      <c r="A78" s="6" t="s">
        <v>232</v>
      </c>
      <c r="B78" s="40" t="n">
        <f aca="false">B72*Assumptions!$B$21</f>
        <v>2000</v>
      </c>
      <c r="C78" s="40" t="n">
        <f aca="false">C72*Assumptions!$B$21</f>
        <v>2250</v>
      </c>
      <c r="D78" s="40" t="n">
        <f aca="false">D72*Assumptions!$B$21</f>
        <v>2250</v>
      </c>
      <c r="E78" s="40" t="n">
        <f aca="false">E72*Assumptions!$B$21</f>
        <v>2250</v>
      </c>
      <c r="F78" s="40" t="n">
        <f aca="false">F72*Assumptions!$B$21</f>
        <v>2250</v>
      </c>
      <c r="G78" s="40" t="n">
        <f aca="false">G72*Assumptions!$B$21</f>
        <v>2500</v>
      </c>
      <c r="H78" s="40" t="n">
        <f aca="false">H72*Assumptions!$B$21</f>
        <v>2500</v>
      </c>
      <c r="I78" s="40" t="n">
        <f aca="false">I72*Assumptions!$B$21</f>
        <v>2500</v>
      </c>
      <c r="J78" s="40" t="n">
        <f aca="false">J72*Assumptions!$B$21</f>
        <v>2500</v>
      </c>
      <c r="K78" s="40" t="n">
        <f aca="false">K72*Assumptions!$B$21</f>
        <v>2500</v>
      </c>
      <c r="L78" s="40" t="n">
        <f aca="false">L72*Assumptions!$B$21</f>
        <v>2500</v>
      </c>
      <c r="M78" s="40" t="n">
        <f aca="false">M72*Assumptions!$B$21</f>
        <v>2500</v>
      </c>
      <c r="N78" s="45" t="n">
        <f aca="false">SUM(B78:M78)</f>
        <v>28500</v>
      </c>
    </row>
    <row r="79" customFormat="false" ht="15" hidden="false" customHeight="true" outlineLevel="0" collapsed="false">
      <c r="A79" s="6" t="s">
        <v>233</v>
      </c>
      <c r="B79" s="40" t="n">
        <f aca="false">B72*VLOOKUP($A$71,Assumptions!$A$35:$C$40,2,FALSE())</f>
        <v>1200</v>
      </c>
      <c r="C79" s="40" t="n">
        <f aca="false">C72*VLOOKUP($A$71,Assumptions!$A$35:$C$40,2,FALSE())</f>
        <v>1350</v>
      </c>
      <c r="D79" s="40" t="n">
        <f aca="false">D72*VLOOKUP($A$71,Assumptions!$A$35:$C$40,2,FALSE())</f>
        <v>1350</v>
      </c>
      <c r="E79" s="40" t="n">
        <f aca="false">E72*VLOOKUP($A$71,Assumptions!$A$35:$C$40,2,FALSE())</f>
        <v>1350</v>
      </c>
      <c r="F79" s="40" t="n">
        <f aca="false">F72*VLOOKUP($A$71,Assumptions!$A$35:$C$40,2,FALSE())</f>
        <v>1350</v>
      </c>
      <c r="G79" s="40" t="n">
        <f aca="false">G72*VLOOKUP($A$71,Assumptions!$A$35:$C$40,2,FALSE())</f>
        <v>1500</v>
      </c>
      <c r="H79" s="40" t="n">
        <f aca="false">H72*VLOOKUP($A$71,Assumptions!$A$35:$C$40,2,FALSE())</f>
        <v>1500</v>
      </c>
      <c r="I79" s="40" t="n">
        <f aca="false">I72*VLOOKUP($A$71,Assumptions!$A$35:$C$40,2,FALSE())</f>
        <v>1500</v>
      </c>
      <c r="J79" s="40" t="n">
        <f aca="false">J72*VLOOKUP($A$71,Assumptions!$A$35:$C$40,2,FALSE())</f>
        <v>1500</v>
      </c>
      <c r="K79" s="40" t="n">
        <f aca="false">K72*VLOOKUP($A$71,Assumptions!$A$35:$C$40,2,FALSE())</f>
        <v>1500</v>
      </c>
      <c r="L79" s="40" t="n">
        <f aca="false">L72*VLOOKUP($A$71,Assumptions!$A$35:$C$40,2,FALSE())</f>
        <v>1500</v>
      </c>
      <c r="M79" s="40" t="n">
        <f aca="false">M72*VLOOKUP($A$71,Assumptions!$A$35:$C$40,2,FALSE())</f>
        <v>1500</v>
      </c>
      <c r="N79" s="45" t="n">
        <f aca="false">SUM(B79:M79)</f>
        <v>17100</v>
      </c>
    </row>
    <row r="80" customFormat="false" ht="15" hidden="false" customHeight="true" outlineLevel="0" collapsed="false">
      <c r="A80" s="6" t="s">
        <v>234</v>
      </c>
      <c r="B80" s="40" t="n">
        <f aca="false">B72*Assumptions!$B$22</f>
        <v>4800</v>
      </c>
      <c r="C80" s="40" t="n">
        <f aca="false">C72*Assumptions!$B$22</f>
        <v>5400</v>
      </c>
      <c r="D80" s="40" t="n">
        <f aca="false">D72*Assumptions!$B$22</f>
        <v>5400</v>
      </c>
      <c r="E80" s="40" t="n">
        <f aca="false">E72*Assumptions!$B$22</f>
        <v>5400</v>
      </c>
      <c r="F80" s="40" t="n">
        <f aca="false">F72*Assumptions!$B$22</f>
        <v>5400</v>
      </c>
      <c r="G80" s="40" t="n">
        <f aca="false">G72*Assumptions!$B$22</f>
        <v>6000</v>
      </c>
      <c r="H80" s="40" t="n">
        <f aca="false">H72*Assumptions!$B$22</f>
        <v>6000</v>
      </c>
      <c r="I80" s="40" t="n">
        <f aca="false">I72*Assumptions!$B$22</f>
        <v>6000</v>
      </c>
      <c r="J80" s="40" t="n">
        <f aca="false">J72*Assumptions!$B$22</f>
        <v>6000</v>
      </c>
      <c r="K80" s="40" t="n">
        <f aca="false">K72*Assumptions!$B$22</f>
        <v>6000</v>
      </c>
      <c r="L80" s="40" t="n">
        <f aca="false">L72*Assumptions!$B$22</f>
        <v>6000</v>
      </c>
      <c r="M80" s="40" t="n">
        <f aca="false">M72*Assumptions!$B$22</f>
        <v>6000</v>
      </c>
      <c r="N80" s="45" t="n">
        <f aca="false">SUM(B80:M80)</f>
        <v>68400</v>
      </c>
    </row>
    <row r="81" customFormat="false" ht="15" hidden="false" customHeight="true" outlineLevel="0" collapsed="false">
      <c r="A81" s="6" t="s">
        <v>235</v>
      </c>
      <c r="B81" s="40" t="n">
        <f aca="false">VLOOKUP($A$71,Assumptions!$A$35:$C$40,3,FALSE())/12*(1+Assumptions!$F$11)</f>
        <v>75000</v>
      </c>
      <c r="C81" s="40" t="n">
        <f aca="false">VLOOKUP($A$71,Assumptions!$A$35:$C$40,3,FALSE())/12*(1+Assumptions!$F$11)</f>
        <v>75000</v>
      </c>
      <c r="D81" s="40" t="n">
        <f aca="false">VLOOKUP($A$71,Assumptions!$A$35:$C$40,3,FALSE())/12*(1+Assumptions!$F$11)</f>
        <v>75000</v>
      </c>
      <c r="E81" s="40" t="n">
        <f aca="false">VLOOKUP($A$71,Assumptions!$A$35:$C$40,3,FALSE())/12*(1+Assumptions!$F$11)</f>
        <v>75000</v>
      </c>
      <c r="F81" s="40" t="n">
        <f aca="false">VLOOKUP($A$71,Assumptions!$A$35:$C$40,3,FALSE())/12*(1+Assumptions!$F$11)</f>
        <v>75000</v>
      </c>
      <c r="G81" s="40" t="n">
        <f aca="false">VLOOKUP($A$71,Assumptions!$A$35:$C$40,3,FALSE())/12*(1+Assumptions!$F$11)</f>
        <v>75000</v>
      </c>
      <c r="H81" s="40" t="n">
        <f aca="false">VLOOKUP($A$71,Assumptions!$A$35:$C$40,3,FALSE())/12*(1+Assumptions!$F$11)</f>
        <v>75000</v>
      </c>
      <c r="I81" s="40" t="n">
        <f aca="false">VLOOKUP($A$71,Assumptions!$A$35:$C$40,3,FALSE())/12*(1+Assumptions!$F$11)</f>
        <v>75000</v>
      </c>
      <c r="J81" s="40" t="n">
        <f aca="false">VLOOKUP($A$71,Assumptions!$A$35:$C$40,3,FALSE())/12*(1+Assumptions!$F$11)</f>
        <v>75000</v>
      </c>
      <c r="K81" s="40" t="n">
        <f aca="false">VLOOKUP($A$71,Assumptions!$A$35:$C$40,3,FALSE())/12*(1+Assumptions!$F$11)</f>
        <v>75000</v>
      </c>
      <c r="L81" s="40" t="n">
        <f aca="false">VLOOKUP($A$71,Assumptions!$A$35:$C$40,3,FALSE())/12*(1+Assumptions!$F$11)</f>
        <v>75000</v>
      </c>
      <c r="M81" s="40" t="n">
        <f aca="false">VLOOKUP($A$71,Assumptions!$A$35:$C$40,3,FALSE())/12*(1+Assumptions!$F$11)</f>
        <v>75000</v>
      </c>
      <c r="N81" s="45" t="n">
        <f aca="false">SUM(B81:M81)</f>
        <v>900000</v>
      </c>
    </row>
    <row r="82" customFormat="false" ht="15" hidden="false" customHeight="true" outlineLevel="0" collapsed="false">
      <c r="A82" s="16" t="s">
        <v>236</v>
      </c>
      <c r="B82" s="42" t="n">
        <f aca="false">SUM(B73:B81)</f>
        <v>185359.033333333</v>
      </c>
      <c r="C82" s="42" t="n">
        <f aca="false">SUM(C73:C81)</f>
        <v>220425.166666667</v>
      </c>
      <c r="D82" s="42" t="n">
        <f aca="false">SUM(D73:D81)</f>
        <v>199350.166666667</v>
      </c>
      <c r="E82" s="42" t="n">
        <f aca="false">SUM(E73:E81)</f>
        <v>202610.732833333</v>
      </c>
      <c r="F82" s="42" t="n">
        <f aca="false">SUM(F73:F81)</f>
        <v>202610.732833333</v>
      </c>
      <c r="G82" s="42" t="n">
        <f aca="false">SUM(G73:G81)</f>
        <v>230683.372833333</v>
      </c>
      <c r="H82" s="42" t="n">
        <f aca="false">SUM(H73:H81)</f>
        <v>213733.372833333</v>
      </c>
      <c r="I82" s="42" t="n">
        <f aca="false">SUM(I73:I81)</f>
        <v>213733.372833333</v>
      </c>
      <c r="J82" s="42" t="n">
        <f aca="false">SUM(J73:J81)</f>
        <v>213733.372833333</v>
      </c>
      <c r="K82" s="42" t="n">
        <f aca="false">SUM(K73:K81)</f>
        <v>213733.372833333</v>
      </c>
      <c r="L82" s="42" t="n">
        <f aca="false">SUM(L73:L81)</f>
        <v>213733.372833333</v>
      </c>
      <c r="M82" s="42" t="n">
        <f aca="false">SUM(M73:M81)</f>
        <v>213733.372833333</v>
      </c>
      <c r="N82" s="42" t="n">
        <f aca="false">SUM(B82:M82)</f>
        <v>2523439.44216667</v>
      </c>
    </row>
    <row r="84" customFormat="false" ht="15" hidden="false" customHeight="true" outlineLevel="0" collapsed="false">
      <c r="A84" s="4" t="s">
        <v>237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true" outlineLevel="0" collapsed="false">
      <c r="A85" s="6" t="s">
        <v>226</v>
      </c>
      <c r="B85" s="43" t="n">
        <f aca="false">B7+B20+B33+B46+B59+B72</f>
        <v>60</v>
      </c>
      <c r="C85" s="43" t="n">
        <f aca="false">C7+C20+C33+C46+C59+C72</f>
        <v>62</v>
      </c>
      <c r="D85" s="43" t="n">
        <f aca="false">D7+D20+D33+D46+D59+D72</f>
        <v>64</v>
      </c>
      <c r="E85" s="43" t="n">
        <f aca="false">E7+E20+E33+E46+E59+E72</f>
        <v>66</v>
      </c>
      <c r="F85" s="43" t="n">
        <f aca="false">F7+F20+F33+F46+F59+F72</f>
        <v>67</v>
      </c>
      <c r="G85" s="43" t="n">
        <f aca="false">G7+G20+G33+G46+G59+G72</f>
        <v>70</v>
      </c>
      <c r="H85" s="43" t="n">
        <f aca="false">H7+H20+H33+H46+H59+H72</f>
        <v>71</v>
      </c>
      <c r="I85" s="43" t="n">
        <f aca="false">I7+I20+I33+I46+I59+I72</f>
        <v>71</v>
      </c>
      <c r="J85" s="43" t="n">
        <f aca="false">J7+J20+J33+J46+J59+J72</f>
        <v>71</v>
      </c>
      <c r="K85" s="43" t="n">
        <f aca="false">K7+K20+K33+K46+K59+K72</f>
        <v>71</v>
      </c>
      <c r="L85" s="43" t="n">
        <f aca="false">L7+L20+L33+L46+L59+L72</f>
        <v>71</v>
      </c>
      <c r="M85" s="43" t="n">
        <f aca="false">M7+M20+M33+M46+M59+M72</f>
        <v>71</v>
      </c>
      <c r="N85" s="44" t="n">
        <f aca="false">AVERAGE(B85:M85)</f>
        <v>67.9166666666667</v>
      </c>
    </row>
    <row r="86" customFormat="false" ht="15" hidden="false" customHeight="true" outlineLevel="0" collapsed="false">
      <c r="A86" s="6" t="s">
        <v>227</v>
      </c>
      <c r="B86" s="40" t="n">
        <f aca="false">B8+B21+B34+B47+B60+B73</f>
        <v>575083.333333333</v>
      </c>
      <c r="C86" s="40" t="n">
        <f aca="false">C8+C21+C34+C47+C60+C73</f>
        <v>594125</v>
      </c>
      <c r="D86" s="40" t="n">
        <f aca="false">D8+D21+D34+D47+D60+D73</f>
        <v>612416.666666667</v>
      </c>
      <c r="E86" s="40" t="n">
        <f aca="false">E8+E21+E34+E47+E60+E73</f>
        <v>649086.25</v>
      </c>
      <c r="F86" s="40" t="n">
        <f aca="false">F8+F21+F34+F47+F60+F73</f>
        <v>655181.666666667</v>
      </c>
      <c r="G86" s="40" t="n">
        <f aca="false">G8+G21+G34+G47+G60+G73</f>
        <v>682181.666666667</v>
      </c>
      <c r="H86" s="40" t="n">
        <f aca="false">H8+H21+H34+H47+H60+H73</f>
        <v>697913.958333333</v>
      </c>
      <c r="I86" s="40" t="n">
        <f aca="false">I8+I21+I34+I47+I60+I73</f>
        <v>697913.958333333</v>
      </c>
      <c r="J86" s="40" t="n">
        <f aca="false">J8+J21+J34+J47+J60+J73</f>
        <v>697945.833333333</v>
      </c>
      <c r="K86" s="40" t="n">
        <f aca="false">K8+K21+K34+K47+K60+K73</f>
        <v>697945.833333333</v>
      </c>
      <c r="L86" s="40" t="n">
        <f aca="false">L8+L21+L34+L47+L60+L73</f>
        <v>697945.833333333</v>
      </c>
      <c r="M86" s="40" t="n">
        <f aca="false">M8+M21+M34+M47+M60+M73</f>
        <v>697945.833333333</v>
      </c>
      <c r="N86" s="45" t="n">
        <f aca="false">N8+N21+N34+N47+N60+N73</f>
        <v>7955685.83333333</v>
      </c>
    </row>
    <row r="87" customFormat="false" ht="15" hidden="false" customHeight="true" outlineLevel="0" collapsed="false">
      <c r="A87" s="6" t="s">
        <v>228</v>
      </c>
      <c r="B87" s="40" t="n">
        <f aca="false">B9+B22+B35+B48+B61+B74</f>
        <v>82035.4166666667</v>
      </c>
      <c r="C87" s="40" t="n">
        <f aca="false">C9+C22+C35+C48+C61+C74</f>
        <v>83759.5833333333</v>
      </c>
      <c r="D87" s="40" t="n">
        <f aca="false">D9+D22+D35+D48+D61+D74</f>
        <v>86922.0833333333</v>
      </c>
      <c r="E87" s="40" t="n">
        <f aca="false">E9+E22+E35+E48+E61+E74</f>
        <v>91116.65625</v>
      </c>
      <c r="F87" s="40" t="n">
        <f aca="false">F9+F22+F35+F48+F61+F74</f>
        <v>91592.8645833333</v>
      </c>
      <c r="G87" s="40" t="n">
        <f aca="false">G9+G22+G35+G48+G61+G74</f>
        <v>95487.8645833334</v>
      </c>
      <c r="H87" s="40" t="n">
        <f aca="false">H9+H22+H35+H48+H61+H74</f>
        <v>97882.5520833334</v>
      </c>
      <c r="I87" s="40" t="n">
        <f aca="false">I9+I22+I35+I48+I61+I74</f>
        <v>97882.5520833334</v>
      </c>
      <c r="J87" s="40" t="n">
        <f aca="false">J9+J22+J35+J48+J61+J74</f>
        <v>97884.1458333334</v>
      </c>
      <c r="K87" s="40" t="n">
        <f aca="false">K9+K22+K35+K48+K61+K74</f>
        <v>97884.1458333334</v>
      </c>
      <c r="L87" s="40" t="n">
        <f aca="false">L9+L22+L35+L48+L61+L74</f>
        <v>97884.1458333334</v>
      </c>
      <c r="M87" s="40" t="n">
        <f aca="false">M9+M22+M35+M48+M61+M74</f>
        <v>97884.1458333334</v>
      </c>
      <c r="N87" s="45" t="n">
        <f aca="false">N9+N22+N35+N48+N61+N74</f>
        <v>1118216.15625</v>
      </c>
    </row>
    <row r="88" customFormat="false" ht="15" hidden="false" customHeight="true" outlineLevel="0" collapsed="false">
      <c r="A88" s="6" t="s">
        <v>229</v>
      </c>
      <c r="B88" s="40" t="n">
        <f aca="false">B10+B23+B36+B49+B62+B75</f>
        <v>47312.55</v>
      </c>
      <c r="C88" s="40" t="n">
        <f aca="false">C10+C23+C36+C49+C62+C75</f>
        <v>48807.69</v>
      </c>
      <c r="D88" s="40" t="n">
        <f aca="false">D10+D23+D36+D49+D62+D75</f>
        <v>50352.39</v>
      </c>
      <c r="E88" s="40" t="n">
        <f aca="false">E10+E23+E36+E49+E62+E75</f>
        <v>53294.60925</v>
      </c>
      <c r="F88" s="40" t="n">
        <f aca="false">F10+F23+F36+F49+F62+F75</f>
        <v>53767.76625</v>
      </c>
      <c r="G88" s="40" t="n">
        <f aca="false">G10+G23+G36+G49+G62+G75</f>
        <v>55992.20625</v>
      </c>
      <c r="H88" s="40" t="n">
        <f aca="false">H10+H23+H36+H49+H62+H75</f>
        <v>57297.34875</v>
      </c>
      <c r="I88" s="40" t="n">
        <f aca="false">I10+I23+I36+I49+I62+I75</f>
        <v>57297.34875</v>
      </c>
      <c r="J88" s="40" t="n">
        <f aca="false">J10+J23+J36+J49+J62+J75</f>
        <v>57299.7585</v>
      </c>
      <c r="K88" s="40" t="n">
        <f aca="false">K10+K23+K36+K49+K62+K75</f>
        <v>57299.7585</v>
      </c>
      <c r="L88" s="40" t="n">
        <f aca="false">L10+L23+L36+L49+L62+L75</f>
        <v>57299.7585</v>
      </c>
      <c r="M88" s="40" t="n">
        <f aca="false">M10+M23+M36+M49+M62+M75</f>
        <v>57299.7585</v>
      </c>
      <c r="N88" s="45" t="n">
        <f aca="false">N10+N23+N36+N49+N62+N75</f>
        <v>653320.94325</v>
      </c>
    </row>
    <row r="89" customFormat="false" ht="15" hidden="false" customHeight="true" outlineLevel="0" collapsed="false">
      <c r="A89" s="6" t="s">
        <v>230</v>
      </c>
      <c r="B89" s="40" t="n">
        <f aca="false">B11+B24+B37+B50+B63+B76</f>
        <v>69000</v>
      </c>
      <c r="C89" s="40" t="n">
        <f aca="false">C11+C24+C37+C50+C63+C76</f>
        <v>71300</v>
      </c>
      <c r="D89" s="40" t="n">
        <f aca="false">D11+D24+D37+D50+D63+D76</f>
        <v>73600</v>
      </c>
      <c r="E89" s="40" t="n">
        <f aca="false">E11+E24+E37+E50+E63+E76</f>
        <v>75900</v>
      </c>
      <c r="F89" s="40" t="n">
        <f aca="false">F11+F24+F37+F50+F63+F76</f>
        <v>77050</v>
      </c>
      <c r="G89" s="40" t="n">
        <f aca="false">G11+G24+G37+G50+G63+G76</f>
        <v>80500</v>
      </c>
      <c r="H89" s="40" t="n">
        <f aca="false">H11+H24+H37+H50+H63+H76</f>
        <v>81650</v>
      </c>
      <c r="I89" s="40" t="n">
        <f aca="false">I11+I24+I37+I50+I63+I76</f>
        <v>81650</v>
      </c>
      <c r="J89" s="40" t="n">
        <f aca="false">J11+J24+J37+J50+J63+J76</f>
        <v>81650</v>
      </c>
      <c r="K89" s="40" t="n">
        <f aca="false">K11+K24+K37+K50+K63+K76</f>
        <v>81650</v>
      </c>
      <c r="L89" s="40" t="n">
        <f aca="false">L11+L24+L37+L50+L63+L76</f>
        <v>81650</v>
      </c>
      <c r="M89" s="40" t="n">
        <f aca="false">M11+M24+M37+M50+M63+M76</f>
        <v>81650</v>
      </c>
      <c r="N89" s="45" t="n">
        <f aca="false">N11+N24+N37+N50+N63+N76</f>
        <v>937250</v>
      </c>
    </row>
    <row r="90" customFormat="false" ht="15" hidden="false" customHeight="true" outlineLevel="0" collapsed="false">
      <c r="A90" s="6" t="s">
        <v>231</v>
      </c>
      <c r="B90" s="40" t="n">
        <f aca="false">B12+B25+B38+B51+B64+B77</f>
        <v>0</v>
      </c>
      <c r="C90" s="40" t="n">
        <f aca="false">C12+C25+C38+C51+C64+C77</f>
        <v>40275</v>
      </c>
      <c r="D90" s="40" t="n">
        <f aca="false">D12+D25+D38+D51+D64+D77</f>
        <v>38925</v>
      </c>
      <c r="E90" s="40" t="n">
        <f aca="false">E12+E25+E38+E51+E64+E77</f>
        <v>35775</v>
      </c>
      <c r="F90" s="40" t="n">
        <f aca="false">F12+F25+F38+F51+F64+F77</f>
        <v>40725</v>
      </c>
      <c r="G90" s="40" t="n">
        <f aca="false">G12+G25+G38+G51+G64+G77</f>
        <v>57600</v>
      </c>
      <c r="H90" s="40" t="n">
        <f aca="false">H12+H25+H38+H51+H64+H77</f>
        <v>46350</v>
      </c>
      <c r="I90" s="40" t="n">
        <f aca="false">I12+I25+I38+I51+I64+I77</f>
        <v>0</v>
      </c>
      <c r="J90" s="40" t="n">
        <f aca="false">J12+J25+J38+J51+J64+J77</f>
        <v>12450</v>
      </c>
      <c r="K90" s="40" t="n">
        <f aca="false">K12+K25+K38+K51+K64+K77</f>
        <v>0</v>
      </c>
      <c r="L90" s="40" t="n">
        <f aca="false">L12+L25+L38+L51+L64+L77</f>
        <v>0</v>
      </c>
      <c r="M90" s="40" t="n">
        <f aca="false">M12+M25+M38+M51+M64+M77</f>
        <v>0</v>
      </c>
      <c r="N90" s="45" t="n">
        <f aca="false">N12+N25+N38+N51+N64+N77</f>
        <v>272100</v>
      </c>
    </row>
    <row r="91" customFormat="false" ht="15" hidden="false" customHeight="true" outlineLevel="0" collapsed="false">
      <c r="A91" s="6" t="s">
        <v>232</v>
      </c>
      <c r="B91" s="40" t="n">
        <f aca="false">B13+B26+B39+B52+B65+B78</f>
        <v>15000</v>
      </c>
      <c r="C91" s="40" t="n">
        <f aca="false">C13+C26+C39+C52+C65+C78</f>
        <v>15500</v>
      </c>
      <c r="D91" s="40" t="n">
        <f aca="false">D13+D26+D39+D52+D65+D78</f>
        <v>16000</v>
      </c>
      <c r="E91" s="40" t="n">
        <f aca="false">E13+E26+E39+E52+E65+E78</f>
        <v>16500</v>
      </c>
      <c r="F91" s="40" t="n">
        <f aca="false">F13+F26+F39+F52+F65+F78</f>
        <v>16750</v>
      </c>
      <c r="G91" s="40" t="n">
        <f aca="false">G13+G26+G39+G52+G65+G78</f>
        <v>17500</v>
      </c>
      <c r="H91" s="40" t="n">
        <f aca="false">H13+H26+H39+H52+H65+H78</f>
        <v>17750</v>
      </c>
      <c r="I91" s="40" t="n">
        <f aca="false">I13+I26+I39+I52+I65+I78</f>
        <v>17750</v>
      </c>
      <c r="J91" s="40" t="n">
        <f aca="false">J13+J26+J39+J52+J65+J78</f>
        <v>17750</v>
      </c>
      <c r="K91" s="40" t="n">
        <f aca="false">K13+K26+K39+K52+K65+K78</f>
        <v>17750</v>
      </c>
      <c r="L91" s="40" t="n">
        <f aca="false">L13+L26+L39+L52+L65+L78</f>
        <v>17750</v>
      </c>
      <c r="M91" s="40" t="n">
        <f aca="false">M13+M26+M39+M52+M65+M78</f>
        <v>17750</v>
      </c>
      <c r="N91" s="45" t="n">
        <f aca="false">N13+N26+N39+N52+N65+N78</f>
        <v>203750</v>
      </c>
    </row>
    <row r="92" customFormat="false" ht="15" hidden="false" customHeight="true" outlineLevel="0" collapsed="false">
      <c r="A92" s="6" t="s">
        <v>233</v>
      </c>
      <c r="B92" s="40" t="n">
        <f aca="false">B14+B27+B40+B53+B66+B79</f>
        <v>23800</v>
      </c>
      <c r="C92" s="40" t="n">
        <f aca="false">C14+C27+C40+C53+C66+C79</f>
        <v>24100</v>
      </c>
      <c r="D92" s="40" t="n">
        <f aca="false">D14+D27+D40+D53+D66+D79</f>
        <v>25500</v>
      </c>
      <c r="E92" s="40" t="n">
        <f aca="false">E14+E27+E40+E53+E66+E79</f>
        <v>26050</v>
      </c>
      <c r="F92" s="40" t="n">
        <f aca="false">F14+F27+F40+F53+F66+F79</f>
        <v>26250</v>
      </c>
      <c r="G92" s="40" t="n">
        <f aca="false">G14+G27+G40+G53+G66+G79</f>
        <v>27750</v>
      </c>
      <c r="H92" s="40" t="n">
        <f aca="false">H14+H27+H40+H53+H66+H79</f>
        <v>27900</v>
      </c>
      <c r="I92" s="40" t="n">
        <f aca="false">I14+I27+I40+I53+I66+I79</f>
        <v>27900</v>
      </c>
      <c r="J92" s="40" t="n">
        <f aca="false">J14+J27+J40+J53+J66+J79</f>
        <v>27900</v>
      </c>
      <c r="K92" s="40" t="n">
        <f aca="false">K14+K27+K40+K53+K66+K79</f>
        <v>27900</v>
      </c>
      <c r="L92" s="40" t="n">
        <f aca="false">L14+L27+L40+L53+L66+L79</f>
        <v>27900</v>
      </c>
      <c r="M92" s="40" t="n">
        <f aca="false">M14+M27+M40+M53+M66+M79</f>
        <v>27900</v>
      </c>
      <c r="N92" s="45" t="n">
        <f aca="false">N14+N27+N40+N53+N66+N79</f>
        <v>320850</v>
      </c>
    </row>
    <row r="93" customFormat="false" ht="15" hidden="false" customHeight="true" outlineLevel="0" collapsed="false">
      <c r="A93" s="6" t="s">
        <v>234</v>
      </c>
      <c r="B93" s="40" t="n">
        <f aca="false">B15+B28+B41+B54+B67+B80</f>
        <v>36000</v>
      </c>
      <c r="C93" s="40" t="n">
        <f aca="false">C15+C28+C41+C54+C67+C80</f>
        <v>37200</v>
      </c>
      <c r="D93" s="40" t="n">
        <f aca="false">D15+D28+D41+D54+D67+D80</f>
        <v>38400</v>
      </c>
      <c r="E93" s="40" t="n">
        <f aca="false">E15+E28+E41+E54+E67+E80</f>
        <v>39600</v>
      </c>
      <c r="F93" s="40" t="n">
        <f aca="false">F15+F28+F41+F54+F67+F80</f>
        <v>40200</v>
      </c>
      <c r="G93" s="40" t="n">
        <f aca="false">G15+G28+G41+G54+G67+G80</f>
        <v>42000</v>
      </c>
      <c r="H93" s="40" t="n">
        <f aca="false">H15+H28+H41+H54+H67+H80</f>
        <v>42600</v>
      </c>
      <c r="I93" s="40" t="n">
        <f aca="false">I15+I28+I41+I54+I67+I80</f>
        <v>42600</v>
      </c>
      <c r="J93" s="40" t="n">
        <f aca="false">J15+J28+J41+J54+J67+J80</f>
        <v>42600</v>
      </c>
      <c r="K93" s="40" t="n">
        <f aca="false">K15+K28+K41+K54+K67+K80</f>
        <v>42600</v>
      </c>
      <c r="L93" s="40" t="n">
        <f aca="false">L15+L28+L41+L54+L67+L80</f>
        <v>42600</v>
      </c>
      <c r="M93" s="40" t="n">
        <f aca="false">M15+M28+M41+M54+M67+M80</f>
        <v>42600</v>
      </c>
      <c r="N93" s="45" t="n">
        <f aca="false">N15+N28+N41+N54+N67+N80</f>
        <v>489000</v>
      </c>
    </row>
    <row r="94" customFormat="false" ht="15" hidden="false" customHeight="true" outlineLevel="0" collapsed="false">
      <c r="A94" s="6" t="s">
        <v>235</v>
      </c>
      <c r="B94" s="40" t="n">
        <f aca="false">B16+B29+B42+B55+B68+B81</f>
        <v>287500</v>
      </c>
      <c r="C94" s="40" t="n">
        <f aca="false">C16+C29+C42+C55+C68+C81</f>
        <v>287500</v>
      </c>
      <c r="D94" s="40" t="n">
        <f aca="false">D16+D29+D42+D55+D68+D81</f>
        <v>287500</v>
      </c>
      <c r="E94" s="40" t="n">
        <f aca="false">E16+E29+E42+E55+E68+E81</f>
        <v>287500</v>
      </c>
      <c r="F94" s="40" t="n">
        <f aca="false">F16+F29+F42+F55+F68+F81</f>
        <v>287500</v>
      </c>
      <c r="G94" s="40" t="n">
        <f aca="false">G16+G29+G42+G55+G68+G81</f>
        <v>287500</v>
      </c>
      <c r="H94" s="40" t="n">
        <f aca="false">H16+H29+H42+H55+H68+H81</f>
        <v>287500</v>
      </c>
      <c r="I94" s="40" t="n">
        <f aca="false">I16+I29+I42+I55+I68+I81</f>
        <v>287500</v>
      </c>
      <c r="J94" s="40" t="n">
        <f aca="false">J16+J29+J42+J55+J68+J81</f>
        <v>287500</v>
      </c>
      <c r="K94" s="40" t="n">
        <f aca="false">K16+K29+K42+K55+K68+K81</f>
        <v>287500</v>
      </c>
      <c r="L94" s="40" t="n">
        <f aca="false">L16+L29+L42+L55+L68+L81</f>
        <v>287500</v>
      </c>
      <c r="M94" s="40" t="n">
        <f aca="false">M16+M29+M42+M55+M68+M81</f>
        <v>287500</v>
      </c>
      <c r="N94" s="45" t="n">
        <f aca="false">N16+N29+N42+N55+N68+N81</f>
        <v>3450000</v>
      </c>
    </row>
    <row r="95" customFormat="false" ht="15" hidden="false" customHeight="true" outlineLevel="0" collapsed="false">
      <c r="A95" s="16" t="s">
        <v>236</v>
      </c>
      <c r="B95" s="46" t="n">
        <f aca="false">B17+B30+B43+B56+B69+B82</f>
        <v>1135731.3</v>
      </c>
      <c r="C95" s="46" t="n">
        <f aca="false">C17+C30+C43+C56+C69+C82</f>
        <v>1202567.27333333</v>
      </c>
      <c r="D95" s="46" t="n">
        <f aca="false">D17+D30+D43+D56+D69+D82</f>
        <v>1229616.14</v>
      </c>
      <c r="E95" s="46" t="n">
        <f aca="false">E17+E30+E43+E56+E69+E82</f>
        <v>1274822.5155</v>
      </c>
      <c r="F95" s="46" t="n">
        <f aca="false">F17+F30+F43+F56+F69+F82</f>
        <v>1289017.2975</v>
      </c>
      <c r="G95" s="46" t="n">
        <f aca="false">G17+G30+G43+G56+G69+G82</f>
        <v>1346511.7375</v>
      </c>
      <c r="H95" s="46" t="n">
        <f aca="false">H17+H30+H43+H56+H69+H82</f>
        <v>1356843.85916667</v>
      </c>
      <c r="I95" s="46" t="n">
        <f aca="false">I17+I30+I43+I56+I69+I82</f>
        <v>1310493.85916667</v>
      </c>
      <c r="J95" s="46" t="n">
        <f aca="false">J17+J30+J43+J56+J69+J82</f>
        <v>1322979.73766667</v>
      </c>
      <c r="K95" s="46" t="n">
        <f aca="false">K17+K30+K43+K56+K69+K82</f>
        <v>1310529.73766667</v>
      </c>
      <c r="L95" s="46" t="n">
        <f aca="false">L17+L30+L43+L56+L69+L82</f>
        <v>1310529.73766667</v>
      </c>
      <c r="M95" s="46" t="n">
        <f aca="false">M17+M30+M43+M56+M69+M82</f>
        <v>1310529.73766667</v>
      </c>
      <c r="N95" s="46" t="n">
        <f aca="false">N17+N30+N43+N56+N69+N82</f>
        <v>15400172.9328333</v>
      </c>
    </row>
    <row r="96" customFormat="false" ht="15" hidden="false" customHeight="true" outlineLevel="0" collapsed="false">
      <c r="A96" s="3" t="s">
        <v>238</v>
      </c>
      <c r="N96" s="47" t="n">
        <f aca="false">ROUND(SUM(N86:N94)-N95,0)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15" t="s">
        <v>239</v>
      </c>
    </row>
    <row r="2" customFormat="false" ht="15" hidden="false" customHeight="true" outlineLevel="0" collapsed="false">
      <c r="A2" s="3" t="str">
        <f aca="false">"Scenario: "&amp;Assumptions!$C$5&amp;"   |   Brightwater Analytics, Inc. (simulated)"</f>
        <v>Scenario: Plan   |   Brightwater Analytics, Inc. (simulated)</v>
      </c>
    </row>
    <row r="4" customFormat="false" ht="30" hidden="false" customHeight="true" outlineLevel="0" collapsed="false">
      <c r="A4" s="30" t="s">
        <v>57</v>
      </c>
      <c r="B4" s="30" t="s">
        <v>240</v>
      </c>
      <c r="C4" s="30" t="s">
        <v>241</v>
      </c>
      <c r="D4" s="30" t="s">
        <v>242</v>
      </c>
      <c r="E4" s="30" t="s">
        <v>243</v>
      </c>
      <c r="F4" s="30" t="s">
        <v>244</v>
      </c>
      <c r="G4" s="30" t="s">
        <v>245</v>
      </c>
      <c r="H4" s="30" t="s">
        <v>246</v>
      </c>
      <c r="I4" s="30" t="s">
        <v>247</v>
      </c>
    </row>
    <row r="5" customFormat="false" ht="15" hidden="false" customHeight="true" outlineLevel="0" collapsed="false">
      <c r="A5" s="6" t="s">
        <v>61</v>
      </c>
      <c r="B5" s="26" t="n">
        <v>4326000</v>
      </c>
      <c r="C5" s="35" t="n">
        <f aca="false">'Department Budget'!N17</f>
        <v>5018288.1172</v>
      </c>
      <c r="D5" s="40" t="n">
        <f aca="false">C5-B5</f>
        <v>692288.117199999</v>
      </c>
      <c r="E5" s="38" t="n">
        <f aca="false">IF(B5=0,0,C5/B5-1)</f>
        <v>0.160029615626445</v>
      </c>
      <c r="F5" s="48" t="n">
        <f aca="false">SUMIF('Headcount Calc'!$B$6:$B$83,A5,'Headcount Calc'!$K$6:$K$83)</f>
        <v>20</v>
      </c>
      <c r="G5" s="48" t="n">
        <f aca="false">SUMIF('Headcount Calc'!$B$6:$B$83,A5,'Headcount Calc'!$V$6:$V$83)</f>
        <v>24</v>
      </c>
      <c r="H5" s="48" t="n">
        <f aca="false">G5-F5</f>
        <v>4</v>
      </c>
      <c r="I5" s="40" t="n">
        <f aca="false">C5/'Department Budget'!N7</f>
        <v>220584.093063736</v>
      </c>
    </row>
    <row r="6" customFormat="false" ht="15" hidden="false" customHeight="true" outlineLevel="0" collapsed="false">
      <c r="A6" s="6" t="s">
        <v>63</v>
      </c>
      <c r="B6" s="26" t="n">
        <v>1182000</v>
      </c>
      <c r="C6" s="35" t="n">
        <f aca="false">'Department Budget'!N30</f>
        <v>1323535.6162</v>
      </c>
      <c r="D6" s="40" t="n">
        <f aca="false">C6-B6</f>
        <v>141535.6162</v>
      </c>
      <c r="E6" s="38" t="n">
        <f aca="false">IF(B6=0,0,C6/B6-1)</f>
        <v>0.119742484094755</v>
      </c>
      <c r="F6" s="48" t="n">
        <f aca="false">SUMIF('Headcount Calc'!$B$6:$B$83,A6,'Headcount Calc'!$K$6:$K$83)</f>
        <v>5</v>
      </c>
      <c r="G6" s="48" t="n">
        <f aca="false">SUMIF('Headcount Calc'!$B$6:$B$83,A6,'Headcount Calc'!$V$6:$V$83)</f>
        <v>6</v>
      </c>
      <c r="H6" s="48" t="n">
        <f aca="false">G6-F6</f>
        <v>1</v>
      </c>
      <c r="I6" s="40" t="n">
        <f aca="false">C6/'Department Budget'!N20</f>
        <v>226891.81992</v>
      </c>
    </row>
    <row r="7" customFormat="false" ht="15" hidden="false" customHeight="true" outlineLevel="0" collapsed="false">
      <c r="A7" s="6" t="s">
        <v>65</v>
      </c>
      <c r="B7" s="26" t="n">
        <v>2183000</v>
      </c>
      <c r="C7" s="35" t="n">
        <f aca="false">'Department Budget'!N43</f>
        <v>2619009.89066667</v>
      </c>
      <c r="D7" s="40" t="n">
        <f aca="false">C7-B7</f>
        <v>436009.890666666</v>
      </c>
      <c r="E7" s="38" t="n">
        <f aca="false">IF(B7=0,0,C7/B7-1)</f>
        <v>0.199729679645747</v>
      </c>
      <c r="F7" s="48" t="n">
        <f aca="false">SUMIF('Headcount Calc'!$B$6:$B$83,A7,'Headcount Calc'!$K$6:$K$83)</f>
        <v>12</v>
      </c>
      <c r="G7" s="48" t="n">
        <f aca="false">SUMIF('Headcount Calc'!$B$6:$B$83,A7,'Headcount Calc'!$V$6:$V$83)</f>
        <v>14</v>
      </c>
      <c r="H7" s="48" t="n">
        <f aca="false">G7-F7</f>
        <v>2</v>
      </c>
      <c r="I7" s="40" t="n">
        <f aca="false">C7/'Department Budget'!N33</f>
        <v>195205.706136646</v>
      </c>
    </row>
    <row r="8" customFormat="false" ht="15" hidden="false" customHeight="true" outlineLevel="0" collapsed="false">
      <c r="A8" s="6" t="s">
        <v>67</v>
      </c>
      <c r="B8" s="26" t="n">
        <v>2309000</v>
      </c>
      <c r="C8" s="35" t="n">
        <f aca="false">'Department Budget'!N56</f>
        <v>2539442.923</v>
      </c>
      <c r="D8" s="40" t="n">
        <f aca="false">C8-B8</f>
        <v>230442.923</v>
      </c>
      <c r="E8" s="38" t="n">
        <f aca="false">IF(B8=0,0,C8/B8-1)</f>
        <v>0.0998020454742314</v>
      </c>
      <c r="F8" s="48" t="n">
        <f aca="false">SUMIF('Headcount Calc'!$B$6:$B$83,A8,'Headcount Calc'!$K$6:$K$83)</f>
        <v>6</v>
      </c>
      <c r="G8" s="48" t="n">
        <f aca="false">SUMIF('Headcount Calc'!$B$6:$B$83,A8,'Headcount Calc'!$V$6:$V$83)</f>
        <v>7</v>
      </c>
      <c r="H8" s="48" t="n">
        <f aca="false">G8-F8</f>
        <v>1</v>
      </c>
      <c r="I8" s="40" t="n">
        <f aca="false">C8/'Department Budget'!N46</f>
        <v>376213.76637037</v>
      </c>
    </row>
    <row r="9" customFormat="false" ht="15" hidden="false" customHeight="true" outlineLevel="0" collapsed="false">
      <c r="A9" s="6" t="s">
        <v>69</v>
      </c>
      <c r="B9" s="26" t="n">
        <v>1274000</v>
      </c>
      <c r="C9" s="35" t="n">
        <f aca="false">'Department Budget'!N69</f>
        <v>1376456.9436</v>
      </c>
      <c r="D9" s="40" t="n">
        <f aca="false">C9-B9</f>
        <v>102456.9436</v>
      </c>
      <c r="E9" s="38" t="n">
        <f aca="false">IF(B9=0,0,C9/B9-1)</f>
        <v>0.0804214627943485</v>
      </c>
      <c r="F9" s="48" t="n">
        <f aca="false">SUMIF('Headcount Calc'!$B$6:$B$83,A9,'Headcount Calc'!$K$6:$K$83)</f>
        <v>9</v>
      </c>
      <c r="G9" s="48" t="n">
        <f aca="false">SUMIF('Headcount Calc'!$B$6:$B$83,A9,'Headcount Calc'!$V$6:$V$83)</f>
        <v>10</v>
      </c>
      <c r="H9" s="48" t="n">
        <f aca="false">G9-F9</f>
        <v>1</v>
      </c>
      <c r="I9" s="40" t="n">
        <f aca="false">C9/'Department Budget'!N59</f>
        <v>142392.097613793</v>
      </c>
    </row>
    <row r="10" customFormat="false" ht="15" hidden="false" customHeight="true" outlineLevel="0" collapsed="false">
      <c r="A10" s="6" t="s">
        <v>71</v>
      </c>
      <c r="B10" s="26" t="n">
        <v>2381000</v>
      </c>
      <c r="C10" s="35" t="n">
        <f aca="false">'Department Budget'!N82</f>
        <v>2523439.44216667</v>
      </c>
      <c r="D10" s="40" t="n">
        <f aca="false">C10-B10</f>
        <v>142439.442166667</v>
      </c>
      <c r="E10" s="38" t="n">
        <f aca="false">IF(B10=0,0,C10/B10-1)</f>
        <v>0.0598233692426151</v>
      </c>
      <c r="F10" s="48" t="n">
        <f aca="false">SUMIF('Headcount Calc'!$B$6:$B$83,A10,'Headcount Calc'!$K$6:$K$83)</f>
        <v>8</v>
      </c>
      <c r="G10" s="48" t="n">
        <f aca="false">SUMIF('Headcount Calc'!$B$6:$B$83,A10,'Headcount Calc'!$V$6:$V$83)</f>
        <v>10</v>
      </c>
      <c r="H10" s="48" t="n">
        <f aca="false">G10-F10</f>
        <v>2</v>
      </c>
      <c r="I10" s="40" t="n">
        <f aca="false">C10/'Department Budget'!N72</f>
        <v>265625.204438597</v>
      </c>
    </row>
    <row r="11" customFormat="false" ht="15" hidden="false" customHeight="true" outlineLevel="0" collapsed="false">
      <c r="A11" s="16" t="s">
        <v>248</v>
      </c>
      <c r="B11" s="46" t="n">
        <f aca="false">SUM(B5:B10)</f>
        <v>13655000</v>
      </c>
      <c r="C11" s="46" t="n">
        <f aca="false">SUM(C5:C10)</f>
        <v>15400172.9328333</v>
      </c>
      <c r="D11" s="46" t="n">
        <f aca="false">SUM(D5:D10)</f>
        <v>1745172.93283333</v>
      </c>
      <c r="E11" s="49" t="n">
        <f aca="false">IF(B11=0,0,C11/B11-1)</f>
        <v>0.127804682009032</v>
      </c>
      <c r="F11" s="50" t="n">
        <f aca="false">SUM(F5:F10)</f>
        <v>60</v>
      </c>
      <c r="G11" s="50" t="n">
        <f aca="false">SUM(G5:G10)</f>
        <v>71</v>
      </c>
      <c r="H11" s="50" t="n">
        <f aca="false">SUM(H5:H10)</f>
        <v>11</v>
      </c>
      <c r="I11" s="46" t="n">
        <f aca="false">C11/'Department Budget'!N85</f>
        <v>226751.012507975</v>
      </c>
    </row>
    <row r="12" customFormat="false" ht="15" hidden="false" customHeight="true" outlineLevel="0" collapsed="false">
      <c r="A12" s="3" t="s">
        <v>249</v>
      </c>
    </row>
    <row r="14" customFormat="false" ht="15" hidden="false" customHeight="true" outlineLevel="0" collapsed="false">
      <c r="A14" s="4" t="s">
        <v>250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true" outlineLevel="0" collapsed="false">
      <c r="A15" s="6" t="s">
        <v>4</v>
      </c>
      <c r="B15" s="40" t="n">
        <f aca="false">C11</f>
        <v>15400172.9328333</v>
      </c>
    </row>
    <row r="16" customFormat="false" ht="15" hidden="false" customHeight="true" outlineLevel="0" collapsed="false">
      <c r="A16" s="16" t="s">
        <v>251</v>
      </c>
      <c r="B16" s="40" t="n">
        <f aca="false">Assumptions!$B$45</f>
        <v>15000000</v>
      </c>
    </row>
    <row r="17" customFormat="false" ht="15" hidden="false" customHeight="true" outlineLevel="0" collapsed="false">
      <c r="A17" s="16" t="s">
        <v>252</v>
      </c>
      <c r="B17" s="51" t="n">
        <f aca="false">B15-B16</f>
        <v>400172.932833333</v>
      </c>
    </row>
    <row r="18" customFormat="false" ht="15" hidden="false" customHeight="true" outlineLevel="0" collapsed="false">
      <c r="A18" s="6" t="s">
        <v>253</v>
      </c>
      <c r="B18" s="40" t="n">
        <f aca="false">Assumptions!$B$43</f>
        <v>19500000</v>
      </c>
    </row>
    <row r="19" customFormat="false" ht="15" hidden="false" customHeight="true" outlineLevel="0" collapsed="false">
      <c r="A19" s="6" t="s">
        <v>254</v>
      </c>
      <c r="B19" s="38" t="n">
        <f aca="false">B15/B18</f>
        <v>0.789752458094017</v>
      </c>
    </row>
    <row r="20" customFormat="false" ht="15" hidden="false" customHeight="true" outlineLevel="0" collapsed="false">
      <c r="A20" s="6" t="s">
        <v>255</v>
      </c>
      <c r="B20" s="38" t="n">
        <f aca="false">B11/Assumptions!$B$44</f>
        <v>0.910333333333333</v>
      </c>
    </row>
    <row r="21" customFormat="false" ht="15" hidden="false" customHeight="true" outlineLevel="0" collapsed="false">
      <c r="A21" s="6" t="s">
        <v>256</v>
      </c>
      <c r="B21" s="38" t="n">
        <f aca="false">Assumptions!$B$43/Assumptions!$B$44-1</f>
        <v>0.3</v>
      </c>
    </row>
    <row r="22" customFormat="false" ht="15" hidden="false" customHeight="true" outlineLevel="0" collapsed="false">
      <c r="A22" s="6" t="s">
        <v>257</v>
      </c>
      <c r="B22" s="38" t="n">
        <f aca="false">E11</f>
        <v>0.127804682009032</v>
      </c>
    </row>
    <row r="23" customFormat="false" ht="15" hidden="false" customHeight="true" outlineLevel="0" collapsed="false">
      <c r="A23" s="6" t="s">
        <v>9</v>
      </c>
      <c r="B23" s="38" t="n">
        <f aca="false">SUM('Department Budget'!N86:N89)/'Department Budget'!N95</f>
        <v>0.692490466136037</v>
      </c>
    </row>
    <row r="24" customFormat="false" ht="15" hidden="false" customHeight="true" outlineLevel="0" collapsed="false">
      <c r="A24" s="6" t="s">
        <v>8</v>
      </c>
      <c r="B24" s="37" t="n">
        <f aca="false">SUMPRODUCT(('Headcount Calc'!$C$6:$C$83="Open role")*'Headcount Calc'!$H$6:$H$83)</f>
        <v>14</v>
      </c>
    </row>
    <row r="25" customFormat="false" ht="15" hidden="false" customHeight="true" outlineLevel="0" collapsed="false">
      <c r="A25" s="6" t="s">
        <v>258</v>
      </c>
      <c r="B25" s="37" t="n">
        <f aca="false">COUNTIFS('Headcount Calc'!$C$6:$C$83,"Existing",'Headcount Calc'!$G$6:$G$83,"&lt;"&amp;DATE(2099,1,1))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</cols>
  <sheetData>
    <row r="1" customFormat="false" ht="17.25" hidden="false" customHeight="true" outlineLevel="0" collapsed="false">
      <c r="A1" s="15" t="s">
        <v>259</v>
      </c>
    </row>
    <row r="2" customFormat="false" ht="15" hidden="false" customHeight="true" outlineLevel="0" collapsed="false">
      <c r="A2" s="3" t="s">
        <v>260</v>
      </c>
    </row>
    <row r="4" customFormat="false" ht="15" hidden="false" customHeight="false" outlineLevel="0" collapsed="false">
      <c r="A4" s="18" t="s">
        <v>261</v>
      </c>
      <c r="B4" s="19" t="s">
        <v>28</v>
      </c>
      <c r="C4" s="19" t="s">
        <v>29</v>
      </c>
      <c r="D4" s="19" t="s">
        <v>262</v>
      </c>
      <c r="E4" s="19" t="s">
        <v>31</v>
      </c>
    </row>
    <row r="5" customFormat="false" ht="15" hidden="false" customHeight="false" outlineLevel="0" collapsed="false">
      <c r="A5" s="52" t="s">
        <v>263</v>
      </c>
      <c r="B5" s="53" t="n">
        <v>15400172.9328333</v>
      </c>
      <c r="C5" s="53" t="n">
        <v>13855845.7328333</v>
      </c>
      <c r="D5" s="53" t="n">
        <v>16176756.4261667</v>
      </c>
      <c r="E5" s="53" t="n">
        <v>14893455.7728333</v>
      </c>
    </row>
    <row r="6" customFormat="false" ht="15" hidden="false" customHeight="false" outlineLevel="0" collapsed="false">
      <c r="A6" s="52" t="s">
        <v>264</v>
      </c>
      <c r="B6" s="54" t="n">
        <v>400172.932833333</v>
      </c>
      <c r="C6" s="54" t="n">
        <v>-1144154.26716667</v>
      </c>
      <c r="D6" s="54" t="n">
        <v>1176756.42616666</v>
      </c>
      <c r="E6" s="54" t="n">
        <v>-106544.227166668</v>
      </c>
    </row>
    <row r="7" customFormat="false" ht="15" hidden="false" customHeight="false" outlineLevel="0" collapsed="false">
      <c r="A7" s="55" t="s">
        <v>6</v>
      </c>
      <c r="B7" s="56" t="n">
        <v>0.789752458094017</v>
      </c>
      <c r="C7" s="56" t="n">
        <v>0.71055619142735</v>
      </c>
      <c r="D7" s="56" t="n">
        <v>0.829577252623932</v>
      </c>
      <c r="E7" s="56" t="n">
        <v>0.763766962709402</v>
      </c>
    </row>
    <row r="8" customFormat="false" ht="15" hidden="false" customHeight="false" outlineLevel="0" collapsed="false">
      <c r="A8" s="55" t="s">
        <v>265</v>
      </c>
      <c r="B8" s="56" t="n">
        <v>0.127804682009032</v>
      </c>
      <c r="C8" s="56" t="n">
        <v>0.0147085853411448</v>
      </c>
      <c r="D8" s="56" t="n">
        <v>0.184676413487123</v>
      </c>
      <c r="E8" s="56" t="n">
        <v>0.0906961386183327</v>
      </c>
    </row>
    <row r="9" customFormat="false" ht="15" hidden="false" customHeight="false" outlineLevel="0" collapsed="false">
      <c r="A9" s="55" t="s">
        <v>266</v>
      </c>
      <c r="B9" s="57" t="n">
        <v>14</v>
      </c>
      <c r="C9" s="57" t="n">
        <v>6</v>
      </c>
      <c r="D9" s="57" t="n">
        <v>18</v>
      </c>
      <c r="E9" s="57" t="n">
        <v>14</v>
      </c>
    </row>
    <row r="10" customFormat="false" ht="15" hidden="false" customHeight="false" outlineLevel="0" collapsed="false">
      <c r="A10" s="55" t="s">
        <v>245</v>
      </c>
      <c r="B10" s="57" t="n">
        <v>71</v>
      </c>
      <c r="C10" s="57" t="n">
        <v>63</v>
      </c>
      <c r="D10" s="57" t="n">
        <v>75</v>
      </c>
      <c r="E10" s="57" t="n">
        <v>71</v>
      </c>
    </row>
    <row r="11" customFormat="false" ht="15" hidden="false" customHeight="false" outlineLevel="0" collapsed="false">
      <c r="A11" s="55" t="s">
        <v>267</v>
      </c>
      <c r="B11" s="58" t="n">
        <v>67.9166666666667</v>
      </c>
      <c r="C11" s="58" t="n">
        <v>62.6666666666667</v>
      </c>
      <c r="D11" s="58" t="n">
        <v>70.75</v>
      </c>
      <c r="E11" s="58" t="n">
        <v>65.9166666666667</v>
      </c>
    </row>
    <row r="12" customFormat="false" ht="15" hidden="false" customHeight="false" outlineLevel="0" collapsed="false">
      <c r="A12" s="55" t="s">
        <v>268</v>
      </c>
      <c r="B12" s="59" t="n">
        <v>9073901.98958333</v>
      </c>
      <c r="C12" s="59" t="n">
        <v>8404426.98958333</v>
      </c>
      <c r="D12" s="59" t="n">
        <v>9348140.32291667</v>
      </c>
      <c r="E12" s="59" t="n">
        <v>8814184.48958333</v>
      </c>
    </row>
    <row r="13" customFormat="false" ht="15" hidden="false" customHeight="false" outlineLevel="0" collapsed="false">
      <c r="A13" s="55" t="s">
        <v>269</v>
      </c>
      <c r="B13" s="59" t="n">
        <v>272100</v>
      </c>
      <c r="C13" s="59" t="n">
        <v>108900</v>
      </c>
      <c r="D13" s="59" t="n">
        <v>326100</v>
      </c>
      <c r="E13" s="59" t="n">
        <v>272100</v>
      </c>
    </row>
    <row r="14" customFormat="false" ht="15" hidden="false" customHeight="false" outlineLevel="0" collapsed="false">
      <c r="A14" s="55" t="s">
        <v>270</v>
      </c>
      <c r="B14" s="59" t="n">
        <v>3450000</v>
      </c>
      <c r="C14" s="59" t="n">
        <v>2932500</v>
      </c>
      <c r="D14" s="59" t="n">
        <v>3795000</v>
      </c>
      <c r="E14" s="59" t="n">
        <v>3277500</v>
      </c>
    </row>
    <row r="15" customFormat="false" ht="15" hidden="false" customHeight="false" outlineLevel="0" collapsed="false">
      <c r="A15" s="52" t="s">
        <v>271</v>
      </c>
      <c r="B15" s="60" t="n">
        <v>0</v>
      </c>
      <c r="C15" s="60" t="n">
        <v>-1544327.2</v>
      </c>
      <c r="D15" s="60" t="n">
        <v>776583.493333399</v>
      </c>
      <c r="E15" s="60" t="n">
        <v>-506717.16</v>
      </c>
    </row>
    <row r="17" customFormat="false" ht="15" hidden="false" customHeight="false" outlineLevel="0" collapsed="false">
      <c r="A17" s="61" t="s">
        <v>272</v>
      </c>
    </row>
    <row r="18" customFormat="false" ht="15" hidden="false" customHeight="false" outlineLevel="0" collapsed="false">
      <c r="A18" s="62" t="s">
        <v>273</v>
      </c>
    </row>
    <row r="19" customFormat="false" ht="15" hidden="false" customHeight="false" outlineLevel="0" collapsed="false">
      <c r="A19" s="62" t="s">
        <v>274</v>
      </c>
    </row>
    <row r="20" customFormat="false" ht="15" hidden="false" customHeight="false" outlineLevel="0" collapsed="false">
      <c r="A20" s="62" t="s">
        <v>275</v>
      </c>
    </row>
    <row r="21" customFormat="false" ht="15" hidden="false" customHeight="false" outlineLevel="0" collapsed="false">
      <c r="A21" s="62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2026-10-18T21:49:30Z</dcterms:created>
  <dc:creator>openpyxl</dc:creator>
  <dc:description/>
  <dc:language>en-US</dc:language>
  <cp:lastModifiedBy/>
  <dcterms:modified xsi:type="dcterms:W3CDTF">2026-10-18T17:49:46Z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